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CRM" sheetId="2" r:id="rId2"/>
    <sheet name="Daily_KPI" sheetId="3" r:id="rId3"/>
    <sheet name="Profit_Diagnostic" sheetId="4" r:id="rId4"/>
    <sheet name="Pricing_Calculator" sheetId="5" r:id="rId5"/>
    <sheet name="Cashflow_8W" sheetId="6" r:id="rId6"/>
    <sheet name="Delivery_Checklist" sheetId="7" r:id="rId7"/>
    <sheet name="Script_Library" sheetId="8" r:id="rId8"/>
  </sheet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¥#,##0;[Red](¥#,##0);-"/>
    <numFmt numFmtId="167" formatCode="0.0%"/>
  </numFmts>
  <fonts count="5">
    <font>
      <sz val="10"/>
      <name val="Microsoft YaHei"/>
      <color rgb="FF172033"/>
    </font>
    <font>
      <b/>
      <sz val="16"/>
      <name val="Microsoft YaHei"/>
      <color rgb="FFFFFFFF"/>
    </font>
    <font>
      <b/>
      <sz val="10"/>
      <name val="Microsoft YaHei"/>
      <color rgb="FFFFFFFF"/>
    </font>
    <font>
      <sz val="10"/>
      <name val="Microsoft YaHei"/>
      <color rgb="FF0000FF"/>
    </font>
    <font>
      <b/>
      <sz val="10"/>
      <name val="Microsoft YaHei"/>
      <color rgb="FF172033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DFF3EE"/>
        <bgColor indexed="64"/>
      </patternFill>
    </fill>
  </fills>
  <borders count="2">
    <border>
      <left/>
      <right/>
      <top/>
      <bottom/>
      <diagonal/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  <diagonal/>
    </border>
  </borders>
  <cellStyleXfs count="1">
    <xf numFmtId="0" fontId="0" fillId="0" borderId="0"/>
  </cellStyleXfs>
  <cellXfs count="10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3" fillId="4" borderId="1" xfId="0" applyFont="1" applyFill="1" applyBorder="1"/>
    <xf numFmtId="166" fontId="3" fillId="4" borderId="1" xfId="0" applyNumberFormat="1" applyFont="1" applyFill="1" applyBorder="1"/>
    <xf numFmtId="0" fontId="0" fillId="5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worksheet" Target="worksheets/sheet4.xml"/>
  <Relationship Id="rId5" Type="http://schemas.openxmlformats.org/officeDocument/2006/relationships/worksheet" Target="worksheets/sheet5.xml"/>
  <Relationship Id="rId6" Type="http://schemas.openxmlformats.org/officeDocument/2006/relationships/worksheet" Target="worksheets/sheet6.xml"/>
  <Relationship Id="rId7" Type="http://schemas.openxmlformats.org/officeDocument/2006/relationships/worksheet" Target="worksheets/sheet7.xml"/>
  <Relationship Id="rId8" Type="http://schemas.openxmlformats.org/officeDocument/2006/relationships/worksheet" Target="worksheets/sheet8.xml"/>
  <Relationship Id="rId9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>
  <sheetViews>
    <sheetView showGridLines="0" workbookViewId="0"/>
  </sheetViews>
  <cols>
    <col min="1" max="1" width="26" customWidth="1"/>
    <col min="2" max="2" width="16" customWidth="1"/>
    <col min="3" max="3" width="4" customWidth="1"/>
    <col min="4" max="4" width="22" customWidth="1"/>
    <col min="5" max="5" width="18" customWidth="1"/>
    <col min="6" max="6" width="4" customWidth="1"/>
    <col min="7" max="7" width="18" customWidth="1"/>
    <col min="8" max="8" width="32" customWidth="1"/>
  </cols>
  <sheetData>
    <row r="1">
      <c r="A1" t="inlineStr" s="1">
        <is>
          <t>十二周年#021：第二收入赚10万元 Dashboard - 目标：2026-10-03 前累计赚 100000 元</t>
        </is>
      </c>
    </row>
    <row r="2">
      <c r="A2"/>
    </row>
    <row r="3">
      <c r="A3" t="inlineStr" s="2">
        <is>
          <t>指标</t>
        </is>
      </c>
      <c r="B3" t="inlineStr" s="2">
        <is>
          <t>当前值</t>
        </is>
      </c>
      <c r="C3"/>
      <c r="D3" t="inlineStr" s="2">
        <is>
          <t>漏斗指标</t>
        </is>
      </c>
      <c r="E3" t="inlineStr" s="2">
        <is>
          <t>当前值</t>
        </is>
      </c>
      <c r="F3"/>
      <c r="G3" t="inlineStr" s="2">
        <is>
          <t>状态色</t>
        </is>
      </c>
      <c r="H3" t="inlineStr" s="2">
        <is>
          <t>含义</t>
        </is>
      </c>
    </row>
    <row r="4">
      <c r="A4" t="inlineStr">
        <is>
          <t>收款目标</t>
        </is>
      </c>
      <c r="B4" s="3">
        <v>100000</v>
      </c>
      <c r="C4"/>
      <c r="D4" t="inlineStr">
        <is>
          <t>回复率</t>
        </is>
      </c>
      <c r="E4" s="4">
        <f>IF(B7=0,0,B8/B7)</f>
      </c>
      <c r="F4"/>
      <c r="G4" t="inlineStr">
        <is>
          <t>OK</t>
        </is>
      </c>
      <c r="H4" t="inlineStr">
        <is>
          <t>达标</t>
        </is>
      </c>
    </row>
    <row r="5">
      <c r="A5" t="inlineStr">
        <is>
          <t>已收款</t>
        </is>
      </c>
      <c r="B5" s="3">
        <f>SUM(CRM!L4:L703)</f>
      </c>
      <c r="C5"/>
      <c r="D5" t="inlineStr">
        <is>
          <t>清单领取率</t>
        </is>
      </c>
      <c r="E5" s="4">
        <f>IF(B8=0,0,B9/B8)</f>
      </c>
      <c r="F5"/>
      <c r="G5" t="inlineStr">
        <is>
          <t>继续冲刺</t>
        </is>
      </c>
      <c r="H5" t="inlineStr">
        <is>
          <t>未到终点</t>
        </is>
      </c>
    </row>
    <row r="6">
      <c r="A6" t="inlineStr">
        <is>
          <t>距离目标</t>
        </is>
      </c>
      <c r="B6" s="3">
        <f>MAX(0,B4-B5)</f>
      </c>
      <c r="C6"/>
      <c r="D6" t="inlineStr">
        <is>
          <t>深聊率</t>
        </is>
      </c>
      <c r="E6" s="4">
        <f>IF(B7=0,0,B10/B7)</f>
      </c>
      <c r="F6"/>
      <c r="G6" t="inlineStr">
        <is>
          <t>改价/改人群</t>
        </is>
      </c>
      <c r="H6" t="inlineStr">
        <is>
          <t>触达策略需调整</t>
        </is>
      </c>
    </row>
    <row r="7">
      <c r="A7" t="inlineStr">
        <is>
          <t>有效触达</t>
        </is>
      </c>
      <c r="B7">
        <f>COUNTA(CRM!B4:B703)</f>
      </c>
      <c r="C7"/>
      <c r="D7" t="inlineStr">
        <is>
          <t>付款转化率</t>
        </is>
      </c>
      <c r="E7" s="4">
        <f>IF(B7=0,0,B11/B7)</f>
      </c>
      <c r="F7"/>
      <c r="G7" t="inlineStr">
        <is>
          <t>需要首个交付</t>
        </is>
      </c>
      <c r="H7" t="inlineStr">
        <is>
          <t>缺少样板反馈</t>
        </is>
      </c>
    </row>
    <row r="8">
      <c r="A8" t="inlineStr">
        <is>
          <t>回复数</t>
        </is>
      </c>
      <c r="B8">
        <f>COUNTIF(CRM!F4:F703,"&lt;&gt;未回")-COUNTIF(CRM!F4:F703,"无效")</f>
      </c>
      <c r="C8"/>
      <c r="D8" t="inlineStr">
        <is>
          <t>平均客单价</t>
        </is>
      </c>
      <c r="E8" s="3">
        <f>IF(B11=0,0,B5/B11)</f>
      </c>
      <c r="F8"/>
      <c r="G8"/>
      <c r="H8"/>
    </row>
    <row r="9">
      <c r="A9" t="inlineStr">
        <is>
          <t>领取清单</t>
        </is>
      </c>
      <c r="B9">
        <f>COUNTIF(CRM!G4:G703,"是")</f>
      </c>
      <c r="C9"/>
      <c r="D9" t="inlineStr">
        <is>
          <t>Day 4 状态</t>
        </is>
      </c>
      <c r="E9">
        <f>IF(AND(SUM(Daily_KPI!E4:E7)&gt;=200,SUM(Daily_KPI!F4:F7)&gt;=15,OR(B11&gt;=1,COUNTIF(CRM!F4:F703,"已报价")&gt;=3)),"OK","改价/改人群")</f>
      </c>
      <c r="F9"/>
      <c r="G9" t="inlineStr">
        <is>
          <t>注意</t>
        </is>
      </c>
      <c r="H9" t="inlineStr">
        <is>
          <t>客户数据请手动录入 CRM</t>
        </is>
      </c>
    </row>
    <row r="10">
      <c r="A10" t="inlineStr">
        <is>
          <t>深聊/报价/付款</t>
        </is>
      </c>
      <c r="B10">
        <f>COUNTIF(CRM!F4:F703,"已深聊")+COUNTIF(CRM!F4:F703,"已报价")+COUNTIF(CRM!F4:F703,"已付款")+COUNTIF(CRM!F4:F703,"已交付")</f>
      </c>
      <c r="C10"/>
      <c r="D10" t="inlineStr">
        <is>
          <t>Day 7 状态</t>
        </is>
      </c>
      <c r="E10">
        <f>IF(COUNTIF(CRM!N4:N703,"已交付")&gt;=1,"OK","需要首个交付")</f>
      </c>
      <c r="F10"/>
      <c r="G10"/>
      <c r="H10"/>
    </row>
    <row r="11">
      <c r="A11" t="inlineStr">
        <is>
          <t>付款单数</t>
        </is>
      </c>
      <c r="B11">
        <f>COUNTIF(CRM!F4:F703,"已付款")+COUNTIF(CRM!F4:F703,"已交付")</f>
      </c>
      <c r="C11"/>
      <c r="D11" t="inlineStr">
        <is>
          <t>最终状态</t>
        </is>
      </c>
      <c r="E11">
        <f>IF(B5&gt;=100000,"OK","继续冲刺")</f>
      </c>
      <c r="F11"/>
      <c r="G11"/>
      <c r="H11"/>
    </row>
    <row r="12">
      <c r="A12"/>
    </row>
    <row r="13">
      <c r="A13" t="inlineStr" s="2">
        <is>
          <t>执行提醒</t>
        </is>
      </c>
    </row>
    <row r="14">
      <c r="A14" t="inlineStr" s="9">
        <is>
          <t>每天 50 个有效触达；有回复先发自查清单，再问 3 个诊断问题。</t>
        </is>
      </c>
    </row>
    <row r="15">
      <c r="A15" t="inlineStr" s="9">
        <is>
          <t>Day 4 没有 1 个付款或 3 个明确问价，就把主服务临时降到 999 元。</t>
        </is>
      </c>
    </row>
    <row r="16">
      <c r="A16" t="inlineStr" s="9">
        <is>
          <t>服务只做经营财务/报价诊断，不做税务、审计、投资建议。</t>
        </is>
      </c>
    </row>
    <row r="17">
      <c r="A17" t="inlineStr" s="9">
        <is>
          <t>两周目标以实际收款为准，不以意向计算。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/>
  </sheetViews>
  <cols>
    <col min="1" max="1" width="7" customWidth="1"/>
    <col min="2" max="2" width="12" customWidth="1"/>
    <col min="3" max="3" width="14" customWidth="1"/>
    <col min="4" max="4" width="20" customWidth="1"/>
    <col min="5" max="5" width="18" customWidth="1"/>
    <col min="6" max="6" width="14" customWidth="1"/>
    <col min="7" max="7" width="12" customWidth="1"/>
    <col min="8" max="8" width="28" customWidth="1"/>
    <col min="9" max="9" width="24" customWidth="1"/>
    <col min="10" max="10" width="12" customWidth="1"/>
    <col min="11" max="11" width="16" customWidth="1"/>
    <col min="12" max="12" width="13" customWidth="1"/>
    <col min="13" max="13" width="12" customWidth="1"/>
    <col min="14" max="14" width="14" customWidth="1"/>
    <col min="15" max="15" width="28" customWidth="1"/>
  </cols>
  <sheetData>
    <row r="1">
      <c r="A1" t="inlineStr" s="1">
        <is>
          <t>一人公司利润体检 CRM - 每天录入 50 个有效触达对象</t>
        </is>
      </c>
    </row>
    <row r="2">
      <c r="A2"/>
    </row>
    <row r="3">
      <c r="A3" t="inlineStr" s="2">
        <is>
          <t>ID</t>
        </is>
      </c>
      <c r="B3" t="inlineStr" s="2">
        <is>
          <t>触达日期</t>
        </is>
      </c>
      <c r="C3" t="inlineStr" s="2">
        <is>
          <t>渠道</t>
        </is>
      </c>
      <c r="D3" t="inlineStr" s="2">
        <is>
          <t>昵称/账号</t>
        </is>
      </c>
      <c r="E3" t="inlineStr" s="2">
        <is>
          <t>业务类型</t>
        </is>
      </c>
      <c r="F3" t="inlineStr" s="2">
        <is>
          <t>状态</t>
        </is>
      </c>
      <c r="G3" t="inlineStr" s="2">
        <is>
          <t>是否发清单</t>
        </is>
      </c>
      <c r="H3" t="inlineStr" s="2">
        <is>
          <t>核心痛点</t>
        </is>
      </c>
      <c r="I3" t="inlineStr" s="2">
        <is>
          <t>下一步</t>
        </is>
      </c>
      <c r="J3" t="inlineStr" s="2">
        <is>
          <t>跟进日期</t>
        </is>
      </c>
      <c r="K3" t="inlineStr" s="2">
        <is>
          <t>报价类型</t>
        </is>
      </c>
      <c r="L3" t="inlineStr" s="2">
        <is>
          <t>收款金额</t>
        </is>
      </c>
      <c r="M3" t="inlineStr" s="2">
        <is>
          <t>收款日期</t>
        </is>
      </c>
      <c r="N3" t="inlineStr" s="2">
        <is>
          <t>交付状态</t>
        </is>
      </c>
      <c r="O3" t="inlineStr" s="2">
        <is>
          <t>备注</t>
        </is>
      </c>
    </row>
    <row r="4">
      <c r="A4">
        <f>IF(B4&lt;&gt;"",ROW()-3,"")</f>
      </c>
      <c r="B4" s="5">
        <v>46189.666667</v>
      </c>
      <c r="C4" t="inlineStr">
        <is>
          <t>小红书</t>
        </is>
      </c>
      <c r="D4" t="inlineStr">
        <is>
          <t>样板客户A</t>
        </is>
      </c>
      <c r="E4" t="inlineStr">
        <is>
          <t>咨询/陪跑</t>
        </is>
      </c>
      <c r="F4" t="inlineStr">
        <is>
          <t>已付款</t>
        </is>
      </c>
      <c r="G4" t="inlineStr">
        <is>
          <t>是</t>
        </is>
      </c>
      <c r="H4" t="inlineStr">
        <is>
          <t>报价低，交付重</t>
        </is>
      </c>
      <c r="I4" t="inlineStr">
        <is>
          <t>48小时交付</t>
        </is>
      </c>
      <c r="J4" s="5">
        <v>46190.666667</v>
      </c>
      <c r="K4" t="inlineStr">
        <is>
          <t>1299利润体检</t>
        </is>
      </c>
      <c r="L4" s="3">
        <v>1299</v>
      </c>
      <c r="M4" s="5">
        <v>46189.666667</v>
      </c>
      <c r="N4" t="inlineStr">
        <is>
          <t>诊断中</t>
        </is>
      </c>
      <c r="O4" t="inlineStr">
        <is>
          <t>示例，可删除</t>
        </is>
      </c>
    </row>
    <row r="5">
      <c r="A5">
        <f>IF(B5&lt;&gt;"",ROW()-3,"")</f>
      </c>
      <c r="B5" s="5">
        <v>46189.666667</v>
      </c>
      <c r="C5" t="inlineStr">
        <is>
          <t>即刻</t>
        </is>
      </c>
      <c r="D5" t="inlineStr">
        <is>
          <t>样板客户B</t>
        </is>
      </c>
      <c r="E5" t="inlineStr">
        <is>
          <t>自由职业设计</t>
        </is>
      </c>
      <c r="F5" t="inlineStr">
        <is>
          <t>已报价</t>
        </is>
      </c>
      <c r="G5" t="inlineStr">
        <is>
          <t>是</t>
        </is>
      </c>
      <c r="H5" t="inlineStr">
        <is>
          <t>低价项目太多</t>
        </is>
      </c>
      <c r="I5" t="inlineStr">
        <is>
          <t>明晚跟进</t>
        </is>
      </c>
      <c r="J5" s="5">
        <v>46190.666667</v>
      </c>
      <c r="K5" t="inlineStr">
        <is>
          <t>1299利润体检</t>
        </is>
      </c>
      <c r="L5"/>
      <c r="M5"/>
      <c r="N5" t="inlineStr">
        <is>
          <t>未开始</t>
        </is>
      </c>
      <c r="O5" t="inlineStr">
        <is>
          <t>示例，可删除</t>
        </is>
      </c>
    </row>
    <row r="6">
      <c r="A6">
        <f>IF(B6&lt;&gt;"",ROW()-3,"")</f>
      </c>
      <c r="B6" s="5">
        <v>46189.666667</v>
      </c>
      <c r="C6" t="inlineStr">
        <is>
          <t>微信社群</t>
        </is>
      </c>
      <c r="D6" t="inlineStr">
        <is>
          <t>样板客户C</t>
        </is>
      </c>
      <c r="E6" t="inlineStr">
        <is>
          <t>知识付费</t>
        </is>
      </c>
      <c r="F6" t="inlineStr">
        <is>
          <t>已深聊</t>
        </is>
      </c>
      <c r="G6" t="inlineStr">
        <is>
          <t>是</t>
        </is>
      </c>
      <c r="H6" t="inlineStr">
        <is>
          <t>现金流紧</t>
        </is>
      </c>
      <c r="I6" t="inlineStr">
        <is>
          <t>发资料清单</t>
        </is>
      </c>
      <c r="J6" s="5">
        <v>46189.666667</v>
      </c>
      <c r="K6"/>
      <c r="L6"/>
      <c r="M6"/>
      <c r="N6" t="inlineStr">
        <is>
          <t>未开始</t>
        </is>
      </c>
      <c r="O6" t="inlineStr">
        <is>
          <t>示例，可删除</t>
        </is>
      </c>
    </row>
    <row r="7">
      <c r="A7">
        <f>IF(B7&lt;&gt;"",ROW()-3,"")</f>
      </c>
      <c r="B7" s="5">
        <v>46189.666667</v>
      </c>
      <c r="C7" t="inlineStr">
        <is>
          <t>公众号</t>
        </is>
      </c>
      <c r="D7" t="inlineStr">
        <is>
          <t>样板客户D</t>
        </is>
      </c>
      <c r="E7" t="inlineStr">
        <is>
          <t>文案服务</t>
        </is>
      </c>
      <c r="F7" t="inlineStr">
        <is>
          <t>已领清单</t>
        </is>
      </c>
      <c r="G7" t="inlineStr">
        <is>
          <t>是</t>
        </is>
      </c>
      <c r="H7" t="inlineStr">
        <is>
          <t>不敢涨价</t>
        </is>
      </c>
      <c r="I7" t="inlineStr">
        <is>
          <t>问3个筛选问题</t>
        </is>
      </c>
      <c r="J7" s="5">
        <v>46190.666667</v>
      </c>
      <c r="K7"/>
      <c r="L7"/>
      <c r="M7"/>
      <c r="N7" t="inlineStr">
        <is>
          <t>未开始</t>
        </is>
      </c>
      <c r="O7" t="inlineStr">
        <is>
          <t>示例，可删除</t>
        </is>
      </c>
    </row>
    <row r="8">
      <c r="A8">
        <f>IF(B8&lt;&gt;"",ROW()-3,"")</f>
      </c>
      <c r="B8" s="5">
        <v>46189.666667</v>
      </c>
      <c r="C8" t="inlineStr">
        <is>
          <t>知识星球</t>
        </is>
      </c>
      <c r="D8" t="inlineStr">
        <is>
          <t>样板客户E</t>
        </is>
      </c>
      <c r="E8" t="inlineStr">
        <is>
          <t>代运营</t>
        </is>
      </c>
      <c r="F8" t="inlineStr">
        <is>
          <t>未回</t>
        </is>
      </c>
      <c r="G8" t="inlineStr">
        <is>
          <t>否</t>
        </is>
      </c>
      <c r="H8"/>
      <c r="I8" t="inlineStr">
        <is>
          <t>24小时后换话术</t>
        </is>
      </c>
      <c r="J8" s="5">
        <v>46190.666667</v>
      </c>
      <c r="K8"/>
      <c r="L8"/>
      <c r="M8"/>
      <c r="N8" t="inlineStr">
        <is>
          <t>未开始</t>
        </is>
      </c>
      <c r="O8" t="inlineStr">
        <is>
          <t>示例，可删除</t>
        </is>
      </c>
    </row>
    <row r="9">
      <c r="A9">
        <f>IF(B9&lt;&gt;"",ROW()-3,"")</f>
      </c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>
      <c r="A10">
        <f>IF(B10&lt;&gt;"",ROW()-3,"")</f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>
      <c r="A11">
        <f>IF(B11&lt;&gt;"",ROW()-3,"")</f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>
      <c r="A12">
        <f>IF(B12&lt;&gt;"",ROW()-3,"")</f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>
      <c r="A13">
        <f>IF(B13&lt;&gt;"",ROW()-3,"")</f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>
      <c r="A14">
        <f>IF(B14&lt;&gt;"",ROW()-3,"")</f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>
      <c r="A15">
        <f>IF(B15&lt;&gt;"",ROW()-3,"")</f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>
      <c r="A16">
        <f>IF(B16&lt;&gt;"",ROW()-3,"")</f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>
      <c r="A17">
        <f>IF(B17&lt;&gt;"",ROW()-3,"")</f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>
      <c r="A18">
        <f>IF(B18&lt;&gt;"",ROW()-3,"")</f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>
        <f>IF(B19&lt;&gt;"",ROW()-3,"")</f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>
      <c r="A20">
        <f>IF(B20&lt;&gt;"",ROW()-3,"")</f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>
      <c r="A21">
        <f>IF(B21&lt;&gt;"",ROW()-3,"")</f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>
      <c r="A22">
        <f>IF(B22&lt;&gt;"",ROW()-3,"")</f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>
      <c r="A23">
        <f>IF(B23&lt;&gt;"",ROW()-3,"")</f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>
      <c r="A24">
        <f>IF(B24&lt;&gt;"",ROW()-3,"")</f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>
      <c r="A25">
        <f>IF(B25&lt;&gt;"",ROW()-3,"")</f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>
      <c r="A26">
        <f>IF(B26&lt;&gt;"",ROW()-3,"")</f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>
      <c r="A27">
        <f>IF(B27&lt;&gt;"",ROW()-3,"")</f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>
      <c r="A28">
        <f>IF(B28&lt;&gt;"",ROW()-3,"")</f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>
      <c r="A29">
        <f>IF(B29&lt;&gt;"",ROW()-3,"")</f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>
      <c r="A30">
        <f>IF(B30&lt;&gt;"",ROW()-3,"")</f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>
      <c r="A31">
        <f>IF(B31&lt;&gt;"",ROW()-3,"")</f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>
      <c r="A32">
        <f>IF(B32&lt;&gt;"",ROW()-3,"")</f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>
      <c r="A33">
        <f>IF(B33&lt;&gt;"",ROW()-3,"")</f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>
      <c r="A34">
        <f>IF(B34&lt;&gt;"",ROW()-3,"")</f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>
      <c r="A35">
        <f>IF(B35&lt;&gt;"",ROW()-3,"")</f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>
      <c r="A36">
        <f>IF(B36&lt;&gt;"",ROW()-3,"")</f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>
      <c r="A37">
        <f>IF(B37&lt;&gt;"",ROW()-3,"")</f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>
      <c r="A38">
        <f>IF(B38&lt;&gt;"",ROW()-3,"")</f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>
      <c r="A39">
        <f>IF(B39&lt;&gt;"",ROW()-3,"")</f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>
      <c r="A40">
        <f>IF(B40&lt;&gt;"",ROW()-3,"")</f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>
      <c r="A41">
        <f>IF(B41&lt;&gt;"",ROW()-3,"")</f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>
      <c r="A42">
        <f>IF(B42&lt;&gt;"",ROW()-3,"")</f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>
      <c r="A43">
        <f>IF(B43&lt;&gt;"",ROW()-3,"")</f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>
      <c r="A44">
        <f>IF(B44&lt;&gt;"",ROW()-3,"")</f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>
      <c r="A45">
        <f>IF(B45&lt;&gt;"",ROW()-3,"")</f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>
      <c r="A46">
        <f>IF(B46&lt;&gt;"",ROW()-3,"")</f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>
      <c r="A47">
        <f>IF(B47&lt;&gt;"",ROW()-3,"")</f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>
      <c r="A48">
        <f>IF(B48&lt;&gt;"",ROW()-3,"")</f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>
      <c r="A49">
        <f>IF(B49&lt;&gt;"",ROW()-3,"")</f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>
      <c r="A50">
        <f>IF(B50&lt;&gt;"",ROW()-3,"")</f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>
      <c r="A51">
        <f>IF(B51&lt;&gt;"",ROW()-3,"")</f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>
      <c r="A52">
        <f>IF(B52&lt;&gt;"",ROW()-3,"")</f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>
      <c r="A53">
        <f>IF(B53&lt;&gt;"",ROW()-3,"")</f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>
      <c r="A54">
        <f>IF(B54&lt;&gt;"",ROW()-3,"")</f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>
      <c r="A55">
        <f>IF(B55&lt;&gt;"",ROW()-3,"")</f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>
      <c r="A56">
        <f>IF(B56&lt;&gt;"",ROW()-3,"")</f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>
      <c r="A57">
        <f>IF(B57&lt;&gt;"",ROW()-3,"")</f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>
      <c r="A58">
        <f>IF(B58&lt;&gt;"",ROW()-3,"")</f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>
      <c r="A59">
        <f>IF(B59&lt;&gt;"",ROW()-3,"")</f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>
      <c r="A60">
        <f>IF(B60&lt;&gt;"",ROW()-3,"")</f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>
      <c r="A61">
        <f>IF(B61&lt;&gt;"",ROW()-3,"")</f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>
      <c r="A62">
        <f>IF(B62&lt;&gt;"",ROW()-3,"")</f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>
      <c r="A63">
        <f>IF(B63&lt;&gt;"",ROW()-3,"")</f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>
      <c r="A64">
        <f>IF(B64&lt;&gt;"",ROW()-3,"")</f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>
      <c r="A65">
        <f>IF(B65&lt;&gt;"",ROW()-3,"")</f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>
      <c r="A66">
        <f>IF(B66&lt;&gt;"",ROW()-3,"")</f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>
      <c r="A67">
        <f>IF(B67&lt;&gt;"",ROW()-3,"")</f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>
      <c r="A68">
        <f>IF(B68&lt;&gt;"",ROW()-3,"")</f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>
      <c r="A69">
        <f>IF(B69&lt;&gt;"",ROW()-3,"")</f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>
      <c r="A70">
        <f>IF(B70&lt;&gt;"",ROW()-3,"")</f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>
      <c r="A71">
        <f>IF(B71&lt;&gt;"",ROW()-3,"")</f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>
      <c r="A72">
        <f>IF(B72&lt;&gt;"",ROW()-3,"")</f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>
      <c r="A73">
        <f>IF(B73&lt;&gt;"",ROW()-3,"")</f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>
      <c r="A74">
        <f>IF(B74&lt;&gt;"",ROW()-3,"")</f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>
      <c r="A75">
        <f>IF(B75&lt;&gt;"",ROW()-3,"")</f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>
      <c r="A76">
        <f>IF(B76&lt;&gt;"",ROW()-3,"")</f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>
      <c r="A77">
        <f>IF(B77&lt;&gt;"",ROW()-3,"")</f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>
      <c r="A78">
        <f>IF(B78&lt;&gt;"",ROW()-3,"")</f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>
      <c r="A79">
        <f>IF(B79&lt;&gt;"",ROW()-3,"")</f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>
      <c r="A80">
        <f>IF(B80&lt;&gt;"",ROW()-3,"")</f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>
      <c r="A81">
        <f>IF(B81&lt;&gt;"",ROW()-3,"")</f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>
      <c r="A82">
        <f>IF(B82&lt;&gt;"",ROW()-3,"")</f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>
      <c r="A83">
        <f>IF(B83&lt;&gt;"",ROW()-3,"")</f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>
      <c r="A84">
        <f>IF(B84&lt;&gt;"",ROW()-3,"")</f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>
      <c r="A85">
        <f>IF(B85&lt;&gt;"",ROW()-3,"")</f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>
      <c r="A86">
        <f>IF(B86&lt;&gt;"",ROW()-3,"")</f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>
      <c r="A87">
        <f>IF(B87&lt;&gt;"",ROW()-3,"")</f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>
      <c r="A88">
        <f>IF(B88&lt;&gt;"",ROW()-3,"")</f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>
      <c r="A89">
        <f>IF(B89&lt;&gt;"",ROW()-3,"")</f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>
      <c r="A90">
        <f>IF(B90&lt;&gt;"",ROW()-3,"")</f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>
      <c r="A91">
        <f>IF(B91&lt;&gt;"",ROW()-3,"")</f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>
      <c r="A92">
        <f>IF(B92&lt;&gt;"",ROW()-3,"")</f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>
      <c r="A93">
        <f>IF(B93&lt;&gt;"",ROW()-3,"")</f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>
      <c r="A94">
        <f>IF(B94&lt;&gt;"",ROW()-3,"")</f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>
      <c r="A95">
        <f>IF(B95&lt;&gt;"",ROW()-3,"")</f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>
      <c r="A96">
        <f>IF(B96&lt;&gt;"",ROW()-3,"")</f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>
      <c r="A97">
        <f>IF(B97&lt;&gt;"",ROW()-3,"")</f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>
      <c r="A98">
        <f>IF(B98&lt;&gt;"",ROW()-3,"")</f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>
      <c r="A99">
        <f>IF(B99&lt;&gt;"",ROW()-3,"")</f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>
      <c r="A100">
        <f>IF(B100&lt;&gt;"",ROW()-3,"")</f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>
      <c r="A101">
        <f>IF(B101&lt;&gt;"",ROW()-3,"")</f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>
      <c r="A102">
        <f>IF(B102&lt;&gt;"",ROW()-3,"")</f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>
      <c r="A103">
        <f>IF(B103&lt;&gt;"",ROW()-3,"")</f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>
      <c r="A104">
        <f>IF(B104&lt;&gt;"",ROW()-3,"")</f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>
      <c r="A105">
        <f>IF(B105&lt;&gt;"",ROW()-3,"")</f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>
      <c r="A106">
        <f>IF(B106&lt;&gt;"",ROW()-3,"")</f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>
      <c r="A107">
        <f>IF(B107&lt;&gt;"",ROW()-3,"")</f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>
      <c r="A108">
        <f>IF(B108&lt;&gt;"",ROW()-3,"")</f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>
      <c r="A109">
        <f>IF(B109&lt;&gt;"",ROW()-3,"")</f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>
      <c r="A110">
        <f>IF(B110&lt;&gt;"",ROW()-3,"")</f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>
      <c r="A111">
        <f>IF(B111&lt;&gt;"",ROW()-3,"")</f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>
      <c r="A112">
        <f>IF(B112&lt;&gt;"",ROW()-3,"")</f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>
      <c r="A113">
        <f>IF(B113&lt;&gt;"",ROW()-3,"")</f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>
      <c r="A114">
        <f>IF(B114&lt;&gt;"",ROW()-3,"")</f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>
      <c r="A115">
        <f>IF(B115&lt;&gt;"",ROW()-3,"")</f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>
      <c r="A116">
        <f>IF(B116&lt;&gt;"",ROW()-3,"")</f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>
      <c r="A117">
        <f>IF(B117&lt;&gt;"",ROW()-3,"")</f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>
      <c r="A118">
        <f>IF(B118&lt;&gt;"",ROW()-3,"")</f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>
      <c r="A119">
        <f>IF(B119&lt;&gt;"",ROW()-3,"")</f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>
      <c r="A120">
        <f>IF(B120&lt;&gt;"",ROW()-3,"")</f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>
      <c r="A121">
        <f>IF(B121&lt;&gt;"",ROW()-3,"")</f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>
      <c r="A122">
        <f>IF(B122&lt;&gt;"",ROW()-3,"")</f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>
      <c r="A123">
        <f>IF(B123&lt;&gt;"",ROW()-3,"")</f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>
      <c r="A124">
        <f>IF(B124&lt;&gt;"",ROW()-3,"")</f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>
      <c r="A125">
        <f>IF(B125&lt;&gt;"",ROW()-3,"")</f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>
      <c r="A126">
        <f>IF(B126&lt;&gt;"",ROW()-3,"")</f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>
      <c r="A127">
        <f>IF(B127&lt;&gt;"",ROW()-3,"")</f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>
      <c r="A128">
        <f>IF(B128&lt;&gt;"",ROW()-3,"")</f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>
      <c r="A129">
        <f>IF(B129&lt;&gt;"",ROW()-3,"")</f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>
      <c r="A130">
        <f>IF(B130&lt;&gt;"",ROW()-3,"")</f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>
      <c r="A131">
        <f>IF(B131&lt;&gt;"",ROW()-3,"")</f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>
      <c r="A132">
        <f>IF(B132&lt;&gt;"",ROW()-3,"")</f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>
      <c r="A133">
        <f>IF(B133&lt;&gt;"",ROW()-3,"")</f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>
      <c r="A134">
        <f>IF(B134&lt;&gt;"",ROW()-3,"")</f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>
      <c r="A135">
        <f>IF(B135&lt;&gt;"",ROW()-3,"")</f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>
      <c r="A136">
        <f>IF(B136&lt;&gt;"",ROW()-3,"")</f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>
      <c r="A137">
        <f>IF(B137&lt;&gt;"",ROW()-3,"")</f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>
      <c r="A138">
        <f>IF(B138&lt;&gt;"",ROW()-3,"")</f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>
      <c r="A139">
        <f>IF(B139&lt;&gt;"",ROW()-3,"")</f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>
      <c r="A140">
        <f>IF(B140&lt;&gt;"",ROW()-3,"")</f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>
      <c r="A141">
        <f>IF(B141&lt;&gt;"",ROW()-3,"")</f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>
      <c r="A142">
        <f>IF(B142&lt;&gt;"",ROW()-3,"")</f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>
      <c r="A143">
        <f>IF(B143&lt;&gt;"",ROW()-3,"")</f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>
      <c r="A144">
        <f>IF(B144&lt;&gt;"",ROW()-3,"")</f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>
      <c r="A145">
        <f>IF(B145&lt;&gt;"",ROW()-3,"")</f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>
      <c r="A146">
        <f>IF(B146&lt;&gt;"",ROW()-3,"")</f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>
      <c r="A147">
        <f>IF(B147&lt;&gt;"",ROW()-3,"")</f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>
      <c r="A148">
        <f>IF(B148&lt;&gt;"",ROW()-3,"")</f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>
      <c r="A149">
        <f>IF(B149&lt;&gt;"",ROW()-3,"")</f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>
      <c r="A150">
        <f>IF(B150&lt;&gt;"",ROW()-3,"")</f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>
      <c r="A151">
        <f>IF(B151&lt;&gt;"",ROW()-3,"")</f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>
      <c r="A152">
        <f>IF(B152&lt;&gt;"",ROW()-3,"")</f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>
      <c r="A153">
        <f>IF(B153&lt;&gt;"",ROW()-3,"")</f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>
      <c r="A154">
        <f>IF(B154&lt;&gt;"",ROW()-3,"")</f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>
      <c r="A155">
        <f>IF(B155&lt;&gt;"",ROW()-3,"")</f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>
      <c r="A156">
        <f>IF(B156&lt;&gt;"",ROW()-3,"")</f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>
      <c r="A157">
        <f>IF(B157&lt;&gt;"",ROW()-3,"")</f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>
      <c r="A158">
        <f>IF(B158&lt;&gt;"",ROW()-3,"")</f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>
      <c r="A159">
        <f>IF(B159&lt;&gt;"",ROW()-3,"")</f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>
      <c r="A160">
        <f>IF(B160&lt;&gt;"",ROW()-3,"")</f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>
      <c r="A161">
        <f>IF(B161&lt;&gt;"",ROW()-3,"")</f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>
      <c r="A162">
        <f>IF(B162&lt;&gt;"",ROW()-3,"")</f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>
      <c r="A163">
        <f>IF(B163&lt;&gt;"",ROW()-3,"")</f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>
      <c r="A164">
        <f>IF(B164&lt;&gt;"",ROW()-3,"")</f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>
      <c r="A165">
        <f>IF(B165&lt;&gt;"",ROW()-3,"")</f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>
      <c r="A166">
        <f>IF(B166&lt;&gt;"",ROW()-3,"")</f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>
      <c r="A167">
        <f>IF(B167&lt;&gt;"",ROW()-3,"")</f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>
      <c r="A168">
        <f>IF(B168&lt;&gt;"",ROW()-3,"")</f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>
      <c r="A169">
        <f>IF(B169&lt;&gt;"",ROW()-3,"")</f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>
      <c r="A170">
        <f>IF(B170&lt;&gt;"",ROW()-3,"")</f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>
      <c r="A171">
        <f>IF(B171&lt;&gt;"",ROW()-3,"")</f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>
      <c r="A172">
        <f>IF(B172&lt;&gt;"",ROW()-3,"")</f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>
      <c r="A173">
        <f>IF(B173&lt;&gt;"",ROW()-3,"")</f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>
      <c r="A174">
        <f>IF(B174&lt;&gt;"",ROW()-3,"")</f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>
      <c r="A175">
        <f>IF(B175&lt;&gt;"",ROW()-3,"")</f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>
      <c r="A176">
        <f>IF(B176&lt;&gt;"",ROW()-3,"")</f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>
      <c r="A177">
        <f>IF(B177&lt;&gt;"",ROW()-3,"")</f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>
      <c r="A178">
        <f>IF(B178&lt;&gt;"",ROW()-3,"")</f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>
      <c r="A179">
        <f>IF(B179&lt;&gt;"",ROW()-3,"")</f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>
      <c r="A180">
        <f>IF(B180&lt;&gt;"",ROW()-3,"")</f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>
      <c r="A181">
        <f>IF(B181&lt;&gt;"",ROW()-3,"")</f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>
      <c r="A182">
        <f>IF(B182&lt;&gt;"",ROW()-3,"")</f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>
      <c r="A183">
        <f>IF(B183&lt;&gt;"",ROW()-3,"")</f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>
      <c r="A184">
        <f>IF(B184&lt;&gt;"",ROW()-3,"")</f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>
      <c r="A185">
        <f>IF(B185&lt;&gt;"",ROW()-3,"")</f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>
      <c r="A186">
        <f>IF(B186&lt;&gt;"",ROW()-3,"")</f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>
      <c r="A187">
        <f>IF(B187&lt;&gt;"",ROW()-3,"")</f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>
      <c r="A188">
        <f>IF(B188&lt;&gt;"",ROW()-3,"")</f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>
      <c r="A189">
        <f>IF(B189&lt;&gt;"",ROW()-3,"")</f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>
      <c r="A190">
        <f>IF(B190&lt;&gt;"",ROW()-3,"")</f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>
      <c r="A191">
        <f>IF(B191&lt;&gt;"",ROW()-3,"")</f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>
      <c r="A192">
        <f>IF(B192&lt;&gt;"",ROW()-3,"")</f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>
      <c r="A193">
        <f>IF(B193&lt;&gt;"",ROW()-3,"")</f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>
      <c r="A194">
        <f>IF(B194&lt;&gt;"",ROW()-3,"")</f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>
      <c r="A195">
        <f>IF(B195&lt;&gt;"",ROW()-3,"")</f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>
      <c r="A196">
        <f>IF(B196&lt;&gt;"",ROW()-3,"")</f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>
      <c r="A197">
        <f>IF(B197&lt;&gt;"",ROW()-3,"")</f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>
      <c r="A198">
        <f>IF(B198&lt;&gt;"",ROW()-3,"")</f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>
      <c r="A199">
        <f>IF(B199&lt;&gt;"",ROW()-3,"")</f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>
      <c r="A200">
        <f>IF(B200&lt;&gt;"",ROW()-3,"")</f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>
      <c r="A201">
        <f>IF(B201&lt;&gt;"",ROW()-3,"")</f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>
      <c r="A202">
        <f>IF(B202&lt;&gt;"",ROW()-3,"")</f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>
      <c r="A203">
        <f>IF(B203&lt;&gt;"",ROW()-3,"")</f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>
      <c r="A204">
        <f>IF(B204&lt;&gt;"",ROW()-3,"")</f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>
      <c r="A205">
        <f>IF(B205&lt;&gt;"",ROW()-3,"")</f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>
      <c r="A206">
        <f>IF(B206&lt;&gt;"",ROW()-3,"")</f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>
      <c r="A207">
        <f>IF(B207&lt;&gt;"",ROW()-3,"")</f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>
      <c r="A208">
        <f>IF(B208&lt;&gt;"",ROW()-3,"")</f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>
      <c r="A209">
        <f>IF(B209&lt;&gt;"",ROW()-3,"")</f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>
      <c r="A210">
        <f>IF(B210&lt;&gt;"",ROW()-3,"")</f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>
      <c r="A211">
        <f>IF(B211&lt;&gt;"",ROW()-3,"")</f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>
      <c r="A212">
        <f>IF(B212&lt;&gt;"",ROW()-3,"")</f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>
      <c r="A213">
        <f>IF(B213&lt;&gt;"",ROW()-3,"")</f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>
      <c r="A214">
        <f>IF(B214&lt;&gt;"",ROW()-3,"")</f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>
      <c r="A215">
        <f>IF(B215&lt;&gt;"",ROW()-3,"")</f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>
      <c r="A216">
        <f>IF(B216&lt;&gt;"",ROW()-3,"")</f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>
      <c r="A217">
        <f>IF(B217&lt;&gt;"",ROW()-3,"")</f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>
      <c r="A218">
        <f>IF(B218&lt;&gt;"",ROW()-3,"")</f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>
      <c r="A219">
        <f>IF(B219&lt;&gt;"",ROW()-3,"")</f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>
      <c r="A220">
        <f>IF(B220&lt;&gt;"",ROW()-3,"")</f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>
      <c r="A221">
        <f>IF(B221&lt;&gt;"",ROW()-3,"")</f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>
      <c r="A222">
        <f>IF(B222&lt;&gt;"",ROW()-3,"")</f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>
      <c r="A223">
        <f>IF(B223&lt;&gt;"",ROW()-3,"")</f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>
      <c r="A224">
        <f>IF(B224&lt;&gt;"",ROW()-3,"")</f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>
      <c r="A225">
        <f>IF(B225&lt;&gt;"",ROW()-3,"")</f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>
      <c r="A226">
        <f>IF(B226&lt;&gt;"",ROW()-3,"")</f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>
      <c r="A227">
        <f>IF(B227&lt;&gt;"",ROW()-3,"")</f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>
      <c r="A228">
        <f>IF(B228&lt;&gt;"",ROW()-3,"")</f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>
      <c r="A229">
        <f>IF(B229&lt;&gt;"",ROW()-3,"")</f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>
      <c r="A230">
        <f>IF(B230&lt;&gt;"",ROW()-3,"")</f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>
      <c r="A231">
        <f>IF(B231&lt;&gt;"",ROW()-3,"")</f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>
      <c r="A232">
        <f>IF(B232&lt;&gt;"",ROW()-3,"")</f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>
      <c r="A233">
        <f>IF(B233&lt;&gt;"",ROW()-3,"")</f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>
      <c r="A234">
        <f>IF(B234&lt;&gt;"",ROW()-3,"")</f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>
      <c r="A235">
        <f>IF(B235&lt;&gt;"",ROW()-3,"")</f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>
      <c r="A236">
        <f>IF(B236&lt;&gt;"",ROW()-3,"")</f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>
      <c r="A237">
        <f>IF(B237&lt;&gt;"",ROW()-3,"")</f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>
      <c r="A238">
        <f>IF(B238&lt;&gt;"",ROW()-3,"")</f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>
      <c r="A239">
        <f>IF(B239&lt;&gt;"",ROW()-3,"")</f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>
      <c r="A240">
        <f>IF(B240&lt;&gt;"",ROW()-3,"")</f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>
      <c r="A241">
        <f>IF(B241&lt;&gt;"",ROW()-3,"")</f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>
      <c r="A242">
        <f>IF(B242&lt;&gt;"",ROW()-3,"")</f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>
      <c r="A243">
        <f>IF(B243&lt;&gt;"",ROW()-3,"")</f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>
      <c r="A244">
        <f>IF(B244&lt;&gt;"",ROW()-3,"")</f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>
      <c r="A245">
        <f>IF(B245&lt;&gt;"",ROW()-3,"")</f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>
      <c r="A246">
        <f>IF(B246&lt;&gt;"",ROW()-3,"")</f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>
      <c r="A247">
        <f>IF(B247&lt;&gt;"",ROW()-3,"")</f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>
      <c r="A248">
        <f>IF(B248&lt;&gt;"",ROW()-3,"")</f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>
      <c r="A249">
        <f>IF(B249&lt;&gt;"",ROW()-3,"")</f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>
      <c r="A250">
        <f>IF(B250&lt;&gt;"",ROW()-3,"")</f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>
      <c r="A251">
        <f>IF(B251&lt;&gt;"",ROW()-3,"")</f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>
      <c r="A252">
        <f>IF(B252&lt;&gt;"",ROW()-3,"")</f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>
      <c r="A253">
        <f>IF(B253&lt;&gt;"",ROW()-3,"")</f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>
      <c r="A254">
        <f>IF(B254&lt;&gt;"",ROW()-3,"")</f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>
      <c r="A255">
        <f>IF(B255&lt;&gt;"",ROW()-3,"")</f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>
      <c r="A256">
        <f>IF(B256&lt;&gt;"",ROW()-3,"")</f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>
      <c r="A257">
        <f>IF(B257&lt;&gt;"",ROW()-3,"")</f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>
      <c r="A258">
        <f>IF(B258&lt;&gt;"",ROW()-3,"")</f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>
      <c r="A259">
        <f>IF(B259&lt;&gt;"",ROW()-3,"")</f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>
      <c r="A260">
        <f>IF(B260&lt;&gt;"",ROW()-3,"")</f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>
      <c r="A261">
        <f>IF(B261&lt;&gt;"",ROW()-3,"")</f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>
      <c r="A262">
        <f>IF(B262&lt;&gt;"",ROW()-3,"")</f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>
      <c r="A263">
        <f>IF(B263&lt;&gt;"",ROW()-3,"")</f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>
      <c r="A264">
        <f>IF(B264&lt;&gt;"",ROW()-3,"")</f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>
      <c r="A265">
        <f>IF(B265&lt;&gt;"",ROW()-3,"")</f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>
      <c r="A266">
        <f>IF(B266&lt;&gt;"",ROW()-3,"")</f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>
      <c r="A267">
        <f>IF(B267&lt;&gt;"",ROW()-3,"")</f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>
      <c r="A268">
        <f>IF(B268&lt;&gt;"",ROW()-3,"")</f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>
      <c r="A269">
        <f>IF(B269&lt;&gt;"",ROW()-3,"")</f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>
      <c r="A270">
        <f>IF(B270&lt;&gt;"",ROW()-3,"")</f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>
      <c r="A271">
        <f>IF(B271&lt;&gt;"",ROW()-3,"")</f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>
      <c r="A272">
        <f>IF(B272&lt;&gt;"",ROW()-3,"")</f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>
      <c r="A273">
        <f>IF(B273&lt;&gt;"",ROW()-3,"")</f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>
      <c r="A274">
        <f>IF(B274&lt;&gt;"",ROW()-3,"")</f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>
      <c r="A275">
        <f>IF(B275&lt;&gt;"",ROW()-3,"")</f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>
      <c r="A276">
        <f>IF(B276&lt;&gt;"",ROW()-3,"")</f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>
      <c r="A277">
        <f>IF(B277&lt;&gt;"",ROW()-3,"")</f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>
      <c r="A278">
        <f>IF(B278&lt;&gt;"",ROW()-3,"")</f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>
      <c r="A279">
        <f>IF(B279&lt;&gt;"",ROW()-3,"")</f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>
      <c r="A280">
        <f>IF(B280&lt;&gt;"",ROW()-3,"")</f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>
      <c r="A281">
        <f>IF(B281&lt;&gt;"",ROW()-3,"")</f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>
      <c r="A282">
        <f>IF(B282&lt;&gt;"",ROW()-3,"")</f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>
      <c r="A283">
        <f>IF(B283&lt;&gt;"",ROW()-3,"")</f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>
      <c r="A284">
        <f>IF(B284&lt;&gt;"",ROW()-3,"")</f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>
      <c r="A285">
        <f>IF(B285&lt;&gt;"",ROW()-3,"")</f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>
      <c r="A286">
        <f>IF(B286&lt;&gt;"",ROW()-3,"")</f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>
      <c r="A287">
        <f>IF(B287&lt;&gt;"",ROW()-3,"")</f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>
      <c r="A288">
        <f>IF(B288&lt;&gt;"",ROW()-3,"")</f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>
      <c r="A289">
        <f>IF(B289&lt;&gt;"",ROW()-3,"")</f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>
      <c r="A290">
        <f>IF(B290&lt;&gt;"",ROW()-3,"")</f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>
      <c r="A291">
        <f>IF(B291&lt;&gt;"",ROW()-3,"")</f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>
      <c r="A292">
        <f>IF(B292&lt;&gt;"",ROW()-3,"")</f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>
      <c r="A293">
        <f>IF(B293&lt;&gt;"",ROW()-3,"")</f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>
      <c r="A294">
        <f>IF(B294&lt;&gt;"",ROW()-3,"")</f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>
      <c r="A295">
        <f>IF(B295&lt;&gt;"",ROW()-3,"")</f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>
      <c r="A296">
        <f>IF(B296&lt;&gt;"",ROW()-3,"")</f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>
      <c r="A297">
        <f>IF(B297&lt;&gt;"",ROW()-3,"")</f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>
      <c r="A298">
        <f>IF(B298&lt;&gt;"",ROW()-3,"")</f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>
      <c r="A299">
        <f>IF(B299&lt;&gt;"",ROW()-3,"")</f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>
      <c r="A300">
        <f>IF(B300&lt;&gt;"",ROW()-3,"")</f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>
      <c r="A301">
        <f>IF(B301&lt;&gt;"",ROW()-3,"")</f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>
      <c r="A302">
        <f>IF(B302&lt;&gt;"",ROW()-3,"")</f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>
      <c r="A303">
        <f>IF(B303&lt;&gt;"",ROW()-3,"")</f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>
      <c r="A304">
        <f>IF(B304&lt;&gt;"",ROW()-3,"")</f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>
      <c r="A305">
        <f>IF(B305&lt;&gt;"",ROW()-3,"")</f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>
      <c r="A306">
        <f>IF(B306&lt;&gt;"",ROW()-3,"")</f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>
      <c r="A307">
        <f>IF(B307&lt;&gt;"",ROW()-3,"")</f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>
      <c r="A308">
        <f>IF(B308&lt;&gt;"",ROW()-3,"")</f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>
      <c r="A309">
        <f>IF(B309&lt;&gt;"",ROW()-3,"")</f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>
      <c r="A310">
        <f>IF(B310&lt;&gt;"",ROW()-3,"")</f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>
      <c r="A311">
        <f>IF(B311&lt;&gt;"",ROW()-3,"")</f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>
      <c r="A312">
        <f>IF(B312&lt;&gt;"",ROW()-3,"")</f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>
      <c r="A313">
        <f>IF(B313&lt;&gt;"",ROW()-3,"")</f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>
      <c r="A314">
        <f>IF(B314&lt;&gt;"",ROW()-3,"")</f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>
      <c r="A315">
        <f>IF(B315&lt;&gt;"",ROW()-3,"")</f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>
      <c r="A316">
        <f>IF(B316&lt;&gt;"",ROW()-3,"")</f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>
      <c r="A317">
        <f>IF(B317&lt;&gt;"",ROW()-3,"")</f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>
      <c r="A318">
        <f>IF(B318&lt;&gt;"",ROW()-3,"")</f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>
      <c r="A319">
        <f>IF(B319&lt;&gt;"",ROW()-3,"")</f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>
      <c r="A320">
        <f>IF(B320&lt;&gt;"",ROW()-3,"")</f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>
      <c r="A321">
        <f>IF(B321&lt;&gt;"",ROW()-3,"")</f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>
      <c r="A322">
        <f>IF(B322&lt;&gt;"",ROW()-3,"")</f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>
      <c r="A323">
        <f>IF(B323&lt;&gt;"",ROW()-3,"")</f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>
      <c r="A324">
        <f>IF(B324&lt;&gt;"",ROW()-3,"")</f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>
      <c r="A325">
        <f>IF(B325&lt;&gt;"",ROW()-3,"")</f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>
      <c r="A326">
        <f>IF(B326&lt;&gt;"",ROW()-3,"")</f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>
      <c r="A327">
        <f>IF(B327&lt;&gt;"",ROW()-3,"")</f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>
      <c r="A328">
        <f>IF(B328&lt;&gt;"",ROW()-3,"")</f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>
      <c r="A329">
        <f>IF(B329&lt;&gt;"",ROW()-3,"")</f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>
      <c r="A330">
        <f>IF(B330&lt;&gt;"",ROW()-3,"")</f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>
      <c r="A331">
        <f>IF(B331&lt;&gt;"",ROW()-3,"")</f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>
      <c r="A332">
        <f>IF(B332&lt;&gt;"",ROW()-3,"")</f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>
      <c r="A333">
        <f>IF(B333&lt;&gt;"",ROW()-3,"")</f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>
      <c r="A334">
        <f>IF(B334&lt;&gt;"",ROW()-3,"")</f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>
      <c r="A335">
        <f>IF(B335&lt;&gt;"",ROW()-3,"")</f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>
      <c r="A336">
        <f>IF(B336&lt;&gt;"",ROW()-3,"")</f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>
      <c r="A337">
        <f>IF(B337&lt;&gt;"",ROW()-3,"")</f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>
      <c r="A338">
        <f>IF(B338&lt;&gt;"",ROW()-3,"")</f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>
      <c r="A339">
        <f>IF(B339&lt;&gt;"",ROW()-3,"")</f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>
      <c r="A340">
        <f>IF(B340&lt;&gt;"",ROW()-3,"")</f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>
      <c r="A341">
        <f>IF(B341&lt;&gt;"",ROW()-3,"")</f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>
      <c r="A342">
        <f>IF(B342&lt;&gt;"",ROW()-3,"")</f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>
      <c r="A343">
        <f>IF(B343&lt;&gt;"",ROW()-3,"")</f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>
      <c r="A344">
        <f>IF(B344&lt;&gt;"",ROW()-3,"")</f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>
      <c r="A345">
        <f>IF(B345&lt;&gt;"",ROW()-3,"")</f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>
      <c r="A346">
        <f>IF(B346&lt;&gt;"",ROW()-3,"")</f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>
      <c r="A347">
        <f>IF(B347&lt;&gt;"",ROW()-3,"")</f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>
      <c r="A348">
        <f>IF(B348&lt;&gt;"",ROW()-3,"")</f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>
      <c r="A349">
        <f>IF(B349&lt;&gt;"",ROW()-3,"")</f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>
      <c r="A350">
        <f>IF(B350&lt;&gt;"",ROW()-3,"")</f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>
      <c r="A351">
        <f>IF(B351&lt;&gt;"",ROW()-3,"")</f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>
      <c r="A352">
        <f>IF(B352&lt;&gt;"",ROW()-3,"")</f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>
      <c r="A353">
        <f>IF(B353&lt;&gt;"",ROW()-3,"")</f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>
      <c r="A354">
        <f>IF(B354&lt;&gt;"",ROW()-3,"")</f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>
      <c r="A355">
        <f>IF(B355&lt;&gt;"",ROW()-3,"")</f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>
      <c r="A356">
        <f>IF(B356&lt;&gt;"",ROW()-3,"")</f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>
      <c r="A357">
        <f>IF(B357&lt;&gt;"",ROW()-3,"")</f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>
      <c r="A358">
        <f>IF(B358&lt;&gt;"",ROW()-3,"")</f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>
      <c r="A359">
        <f>IF(B359&lt;&gt;"",ROW()-3,"")</f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>
      <c r="A360">
        <f>IF(B360&lt;&gt;"",ROW()-3,"")</f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>
      <c r="A361">
        <f>IF(B361&lt;&gt;"",ROW()-3,"")</f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>
      <c r="A362">
        <f>IF(B362&lt;&gt;"",ROW()-3,"")</f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>
      <c r="A363">
        <f>IF(B363&lt;&gt;"",ROW()-3,"")</f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>
      <c r="A364">
        <f>IF(B364&lt;&gt;"",ROW()-3,"")</f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>
      <c r="A365">
        <f>IF(B365&lt;&gt;"",ROW()-3,"")</f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>
      <c r="A366">
        <f>IF(B366&lt;&gt;"",ROW()-3,"")</f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>
      <c r="A367">
        <f>IF(B367&lt;&gt;"",ROW()-3,"")</f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>
      <c r="A368">
        <f>IF(B368&lt;&gt;"",ROW()-3,"")</f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>
      <c r="A369">
        <f>IF(B369&lt;&gt;"",ROW()-3,"")</f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>
      <c r="A370">
        <f>IF(B370&lt;&gt;"",ROW()-3,"")</f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>
      <c r="A371">
        <f>IF(B371&lt;&gt;"",ROW()-3,"")</f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>
      <c r="A372">
        <f>IF(B372&lt;&gt;"",ROW()-3,"")</f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>
      <c r="A373">
        <f>IF(B373&lt;&gt;"",ROW()-3,"")</f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>
      <c r="A374">
        <f>IF(B374&lt;&gt;"",ROW()-3,"")</f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>
      <c r="A375">
        <f>IF(B375&lt;&gt;"",ROW()-3,"")</f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>
      <c r="A376">
        <f>IF(B376&lt;&gt;"",ROW()-3,"")</f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>
      <c r="A377">
        <f>IF(B377&lt;&gt;"",ROW()-3,"")</f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>
      <c r="A378">
        <f>IF(B378&lt;&gt;"",ROW()-3,"")</f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>
      <c r="A379">
        <f>IF(B379&lt;&gt;"",ROW()-3,"")</f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>
      <c r="A380">
        <f>IF(B380&lt;&gt;"",ROW()-3,"")</f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>
      <c r="A381">
        <f>IF(B381&lt;&gt;"",ROW()-3,"")</f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>
      <c r="A382">
        <f>IF(B382&lt;&gt;"",ROW()-3,"")</f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>
      <c r="A383">
        <f>IF(B383&lt;&gt;"",ROW()-3,"")</f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>
      <c r="A384">
        <f>IF(B384&lt;&gt;"",ROW()-3,"")</f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>
      <c r="A385">
        <f>IF(B385&lt;&gt;"",ROW()-3,"")</f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>
      <c r="A386">
        <f>IF(B386&lt;&gt;"",ROW()-3,"")</f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>
      <c r="A387">
        <f>IF(B387&lt;&gt;"",ROW()-3,"")</f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>
      <c r="A388">
        <f>IF(B388&lt;&gt;"",ROW()-3,"")</f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>
      <c r="A389">
        <f>IF(B389&lt;&gt;"",ROW()-3,"")</f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>
      <c r="A390">
        <f>IF(B390&lt;&gt;"",ROW()-3,"")</f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>
      <c r="A391">
        <f>IF(B391&lt;&gt;"",ROW()-3,"")</f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>
      <c r="A392">
        <f>IF(B392&lt;&gt;"",ROW()-3,"")</f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>
      <c r="A393">
        <f>IF(B393&lt;&gt;"",ROW()-3,"")</f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>
      <c r="A394">
        <f>IF(B394&lt;&gt;"",ROW()-3,"")</f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>
      <c r="A395">
        <f>IF(B395&lt;&gt;"",ROW()-3,"")</f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>
      <c r="A396">
        <f>IF(B396&lt;&gt;"",ROW()-3,"")</f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>
      <c r="A397">
        <f>IF(B397&lt;&gt;"",ROW()-3,"")</f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>
      <c r="A398">
        <f>IF(B398&lt;&gt;"",ROW()-3,"")</f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>
      <c r="A399">
        <f>IF(B399&lt;&gt;"",ROW()-3,"")</f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>
      <c r="A400">
        <f>IF(B400&lt;&gt;"",ROW()-3,"")</f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>
      <c r="A401">
        <f>IF(B401&lt;&gt;"",ROW()-3,"")</f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>
      <c r="A402">
        <f>IF(B402&lt;&gt;"",ROW()-3,"")</f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>
      <c r="A403">
        <f>IF(B403&lt;&gt;"",ROW()-3,"")</f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>
      <c r="A404">
        <f>IF(B404&lt;&gt;"",ROW()-3,"")</f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>
      <c r="A405">
        <f>IF(B405&lt;&gt;"",ROW()-3,"")</f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>
      <c r="A406">
        <f>IF(B406&lt;&gt;"",ROW()-3,"")</f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>
      <c r="A407">
        <f>IF(B407&lt;&gt;"",ROW()-3,"")</f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>
      <c r="A408">
        <f>IF(B408&lt;&gt;"",ROW()-3,"")</f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>
      <c r="A409">
        <f>IF(B409&lt;&gt;"",ROW()-3,"")</f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>
      <c r="A410">
        <f>IF(B410&lt;&gt;"",ROW()-3,"")</f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>
      <c r="A411">
        <f>IF(B411&lt;&gt;"",ROW()-3,"")</f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>
      <c r="A412">
        <f>IF(B412&lt;&gt;"",ROW()-3,"")</f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>
      <c r="A413">
        <f>IF(B413&lt;&gt;"",ROW()-3,"")</f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>
      <c r="A414">
        <f>IF(B414&lt;&gt;"",ROW()-3,"")</f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>
      <c r="A415">
        <f>IF(B415&lt;&gt;"",ROW()-3,"")</f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>
      <c r="A416">
        <f>IF(B416&lt;&gt;"",ROW()-3,"")</f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>
      <c r="A417">
        <f>IF(B417&lt;&gt;"",ROW()-3,"")</f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>
      <c r="A418">
        <f>IF(B418&lt;&gt;"",ROW()-3,"")</f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>
      <c r="A419">
        <f>IF(B419&lt;&gt;"",ROW()-3,"")</f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>
      <c r="A420">
        <f>IF(B420&lt;&gt;"",ROW()-3,"")</f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>
      <c r="A421">
        <f>IF(B421&lt;&gt;"",ROW()-3,"")</f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>
      <c r="A422">
        <f>IF(B422&lt;&gt;"",ROW()-3,"")</f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>
      <c r="A423">
        <f>IF(B423&lt;&gt;"",ROW()-3,"")</f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>
      <c r="A424">
        <f>IF(B424&lt;&gt;"",ROW()-3,"")</f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>
      <c r="A425">
        <f>IF(B425&lt;&gt;"",ROW()-3,"")</f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>
      <c r="A426">
        <f>IF(B426&lt;&gt;"",ROW()-3,"")</f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>
      <c r="A427">
        <f>IF(B427&lt;&gt;"",ROW()-3,"")</f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>
      <c r="A428">
        <f>IF(B428&lt;&gt;"",ROW()-3,"")</f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>
      <c r="A429">
        <f>IF(B429&lt;&gt;"",ROW()-3,"")</f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>
      <c r="A430">
        <f>IF(B430&lt;&gt;"",ROW()-3,"")</f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>
      <c r="A431">
        <f>IF(B431&lt;&gt;"",ROW()-3,"")</f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>
      <c r="A432">
        <f>IF(B432&lt;&gt;"",ROW()-3,"")</f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>
      <c r="A433">
        <f>IF(B433&lt;&gt;"",ROW()-3,"")</f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>
      <c r="A434">
        <f>IF(B434&lt;&gt;"",ROW()-3,"")</f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>
      <c r="A435">
        <f>IF(B435&lt;&gt;"",ROW()-3,"")</f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>
      <c r="A436">
        <f>IF(B436&lt;&gt;"",ROW()-3,"")</f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>
      <c r="A437">
        <f>IF(B437&lt;&gt;"",ROW()-3,"")</f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>
      <c r="A438">
        <f>IF(B438&lt;&gt;"",ROW()-3,"")</f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>
      <c r="A439">
        <f>IF(B439&lt;&gt;"",ROW()-3,"")</f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>
      <c r="A440">
        <f>IF(B440&lt;&gt;"",ROW()-3,"")</f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>
      <c r="A441">
        <f>IF(B441&lt;&gt;"",ROW()-3,"")</f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>
      <c r="A442">
        <f>IF(B442&lt;&gt;"",ROW()-3,"")</f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>
      <c r="A443">
        <f>IF(B443&lt;&gt;"",ROW()-3,"")</f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>
      <c r="A444">
        <f>IF(B444&lt;&gt;"",ROW()-3,"")</f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>
      <c r="A445">
        <f>IF(B445&lt;&gt;"",ROW()-3,"")</f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>
      <c r="A446">
        <f>IF(B446&lt;&gt;"",ROW()-3,"")</f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>
      <c r="A447">
        <f>IF(B447&lt;&gt;"",ROW()-3,"")</f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>
      <c r="A448">
        <f>IF(B448&lt;&gt;"",ROW()-3,"")</f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>
      <c r="A449">
        <f>IF(B449&lt;&gt;"",ROW()-3,"")</f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>
      <c r="A450">
        <f>IF(B450&lt;&gt;"",ROW()-3,"")</f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>
      <c r="A451">
        <f>IF(B451&lt;&gt;"",ROW()-3,"")</f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>
      <c r="A452">
        <f>IF(B452&lt;&gt;"",ROW()-3,"")</f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>
      <c r="A453">
        <f>IF(B453&lt;&gt;"",ROW()-3,"")</f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>
      <c r="A454">
        <f>IF(B454&lt;&gt;"",ROW()-3,"")</f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>
      <c r="A455">
        <f>IF(B455&lt;&gt;"",ROW()-3,"")</f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>
      <c r="A456">
        <f>IF(B456&lt;&gt;"",ROW()-3,"")</f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>
      <c r="A457">
        <f>IF(B457&lt;&gt;"",ROW()-3,"")</f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>
      <c r="A458">
        <f>IF(B458&lt;&gt;"",ROW()-3,"")</f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>
      <c r="A459">
        <f>IF(B459&lt;&gt;"",ROW()-3,"")</f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>
      <c r="A460">
        <f>IF(B460&lt;&gt;"",ROW()-3,"")</f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>
      <c r="A461">
        <f>IF(B461&lt;&gt;"",ROW()-3,"")</f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>
      <c r="A462">
        <f>IF(B462&lt;&gt;"",ROW()-3,"")</f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>
      <c r="A463">
        <f>IF(B463&lt;&gt;"",ROW()-3,"")</f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>
      <c r="A464">
        <f>IF(B464&lt;&gt;"",ROW()-3,"")</f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>
      <c r="A465">
        <f>IF(B465&lt;&gt;"",ROW()-3,"")</f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>
      <c r="A466">
        <f>IF(B466&lt;&gt;"",ROW()-3,"")</f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>
      <c r="A467">
        <f>IF(B467&lt;&gt;"",ROW()-3,"")</f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>
      <c r="A468">
        <f>IF(B468&lt;&gt;"",ROW()-3,"")</f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>
      <c r="A469">
        <f>IF(B469&lt;&gt;"",ROW()-3,"")</f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>
      <c r="A470">
        <f>IF(B470&lt;&gt;"",ROW()-3,"")</f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>
      <c r="A471">
        <f>IF(B471&lt;&gt;"",ROW()-3,"")</f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>
      <c r="A472">
        <f>IF(B472&lt;&gt;"",ROW()-3,"")</f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>
      <c r="A473">
        <f>IF(B473&lt;&gt;"",ROW()-3,"")</f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>
      <c r="A474">
        <f>IF(B474&lt;&gt;"",ROW()-3,"")</f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>
      <c r="A475">
        <f>IF(B475&lt;&gt;"",ROW()-3,"")</f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>
      <c r="A476">
        <f>IF(B476&lt;&gt;"",ROW()-3,"")</f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>
      <c r="A477">
        <f>IF(B477&lt;&gt;"",ROW()-3,"")</f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>
      <c r="A478">
        <f>IF(B478&lt;&gt;"",ROW()-3,"")</f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>
      <c r="A479">
        <f>IF(B479&lt;&gt;"",ROW()-3,"")</f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>
      <c r="A480">
        <f>IF(B480&lt;&gt;"",ROW()-3,"")</f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>
      <c r="A481">
        <f>IF(B481&lt;&gt;"",ROW()-3,"")</f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>
      <c r="A482">
        <f>IF(B482&lt;&gt;"",ROW()-3,"")</f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>
      <c r="A483">
        <f>IF(B483&lt;&gt;"",ROW()-3,"")</f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>
      <c r="A484">
        <f>IF(B484&lt;&gt;"",ROW()-3,"")</f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>
      <c r="A485">
        <f>IF(B485&lt;&gt;"",ROW()-3,"")</f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>
      <c r="A486">
        <f>IF(B486&lt;&gt;"",ROW()-3,"")</f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>
      <c r="A487">
        <f>IF(B487&lt;&gt;"",ROW()-3,"")</f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>
      <c r="A488">
        <f>IF(B488&lt;&gt;"",ROW()-3,"")</f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>
      <c r="A489">
        <f>IF(B489&lt;&gt;"",ROW()-3,"")</f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>
      <c r="A490">
        <f>IF(B490&lt;&gt;"",ROW()-3,"")</f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>
      <c r="A491">
        <f>IF(B491&lt;&gt;"",ROW()-3,"")</f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>
      <c r="A492">
        <f>IF(B492&lt;&gt;"",ROW()-3,"")</f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>
      <c r="A493">
        <f>IF(B493&lt;&gt;"",ROW()-3,"")</f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>
      <c r="A494">
        <f>IF(B494&lt;&gt;"",ROW()-3,"")</f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>
      <c r="A495">
        <f>IF(B495&lt;&gt;"",ROW()-3,"")</f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>
      <c r="A496">
        <f>IF(B496&lt;&gt;"",ROW()-3,"")</f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>
      <c r="A497">
        <f>IF(B497&lt;&gt;"",ROW()-3,"")</f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>
      <c r="A498">
        <f>IF(B498&lt;&gt;"",ROW()-3,"")</f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>
      <c r="A499">
        <f>IF(B499&lt;&gt;"",ROW()-3,"")</f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>
      <c r="A500">
        <f>IF(B500&lt;&gt;"",ROW()-3,"")</f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>
      <c r="A501">
        <f>IF(B501&lt;&gt;"",ROW()-3,"")</f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>
      <c r="A502">
        <f>IF(B502&lt;&gt;"",ROW()-3,"")</f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>
      <c r="A503">
        <f>IF(B503&lt;&gt;"",ROW()-3,"")</f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>
      <c r="A504">
        <f>IF(B504&lt;&gt;"",ROW()-3,"")</f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>
      <c r="A505">
        <f>IF(B505&lt;&gt;"",ROW()-3,"")</f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>
      <c r="A506">
        <f>IF(B506&lt;&gt;"",ROW()-3,"")</f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>
      <c r="A507">
        <f>IF(B507&lt;&gt;"",ROW()-3,"")</f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>
      <c r="A508">
        <f>IF(B508&lt;&gt;"",ROW()-3,"")</f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>
      <c r="A509">
        <f>IF(B509&lt;&gt;"",ROW()-3,"")</f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>
      <c r="A510">
        <f>IF(B510&lt;&gt;"",ROW()-3,"")</f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>
      <c r="A511">
        <f>IF(B511&lt;&gt;"",ROW()-3,"")</f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>
      <c r="A512">
        <f>IF(B512&lt;&gt;"",ROW()-3,"")</f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>
      <c r="A513">
        <f>IF(B513&lt;&gt;"",ROW()-3,"")</f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>
      <c r="A514">
        <f>IF(B514&lt;&gt;"",ROW()-3,"")</f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>
      <c r="A515">
        <f>IF(B515&lt;&gt;"",ROW()-3,"")</f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>
      <c r="A516">
        <f>IF(B516&lt;&gt;"",ROW()-3,"")</f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>
      <c r="A517">
        <f>IF(B517&lt;&gt;"",ROW()-3,"")</f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>
      <c r="A518">
        <f>IF(B518&lt;&gt;"",ROW()-3,"")</f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>
      <c r="A519">
        <f>IF(B519&lt;&gt;"",ROW()-3,"")</f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>
      <c r="A520">
        <f>IF(B520&lt;&gt;"",ROW()-3,"")</f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>
      <c r="A521">
        <f>IF(B521&lt;&gt;"",ROW()-3,"")</f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>
      <c r="A522">
        <f>IF(B522&lt;&gt;"",ROW()-3,"")</f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>
      <c r="A523">
        <f>IF(B523&lt;&gt;"",ROW()-3,"")</f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>
      <c r="A524">
        <f>IF(B524&lt;&gt;"",ROW()-3,"")</f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>
      <c r="A525">
        <f>IF(B525&lt;&gt;"",ROW()-3,"")</f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>
      <c r="A526">
        <f>IF(B526&lt;&gt;"",ROW()-3,"")</f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>
      <c r="A527">
        <f>IF(B527&lt;&gt;"",ROW()-3,"")</f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>
      <c r="A528">
        <f>IF(B528&lt;&gt;"",ROW()-3,"")</f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>
      <c r="A529">
        <f>IF(B529&lt;&gt;"",ROW()-3,"")</f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>
      <c r="A530">
        <f>IF(B530&lt;&gt;"",ROW()-3,"")</f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>
      <c r="A531">
        <f>IF(B531&lt;&gt;"",ROW()-3,"")</f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>
      <c r="A532">
        <f>IF(B532&lt;&gt;"",ROW()-3,"")</f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>
      <c r="A533">
        <f>IF(B533&lt;&gt;"",ROW()-3,"")</f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>
      <c r="A534">
        <f>IF(B534&lt;&gt;"",ROW()-3,"")</f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>
      <c r="A535">
        <f>IF(B535&lt;&gt;"",ROW()-3,"")</f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>
      <c r="A536">
        <f>IF(B536&lt;&gt;"",ROW()-3,"")</f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>
      <c r="A537">
        <f>IF(B537&lt;&gt;"",ROW()-3,"")</f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>
      <c r="A538">
        <f>IF(B538&lt;&gt;"",ROW()-3,"")</f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>
      <c r="A539">
        <f>IF(B539&lt;&gt;"",ROW()-3,"")</f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>
      <c r="A540">
        <f>IF(B540&lt;&gt;"",ROW()-3,"")</f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>
      <c r="A541">
        <f>IF(B541&lt;&gt;"",ROW()-3,"")</f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>
      <c r="A542">
        <f>IF(B542&lt;&gt;"",ROW()-3,"")</f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>
      <c r="A543">
        <f>IF(B543&lt;&gt;"",ROW()-3,"")</f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>
      <c r="A544">
        <f>IF(B544&lt;&gt;"",ROW()-3,"")</f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>
      <c r="A545">
        <f>IF(B545&lt;&gt;"",ROW()-3,"")</f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>
      <c r="A546">
        <f>IF(B546&lt;&gt;"",ROW()-3,"")</f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>
      <c r="A547">
        <f>IF(B547&lt;&gt;"",ROW()-3,"")</f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>
      <c r="A548">
        <f>IF(B548&lt;&gt;"",ROW()-3,"")</f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>
      <c r="A549">
        <f>IF(B549&lt;&gt;"",ROW()-3,"")</f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>
      <c r="A550">
        <f>IF(B550&lt;&gt;"",ROW()-3,"")</f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>
      <c r="A551">
        <f>IF(B551&lt;&gt;"",ROW()-3,"")</f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>
      <c r="A552">
        <f>IF(B552&lt;&gt;"",ROW()-3,"")</f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>
      <c r="A553">
        <f>IF(B553&lt;&gt;"",ROW()-3,"")</f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>
      <c r="A554">
        <f>IF(B554&lt;&gt;"",ROW()-3,"")</f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>
      <c r="A555">
        <f>IF(B555&lt;&gt;"",ROW()-3,"")</f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>
      <c r="A556">
        <f>IF(B556&lt;&gt;"",ROW()-3,"")</f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>
      <c r="A557">
        <f>IF(B557&lt;&gt;"",ROW()-3,"")</f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>
      <c r="A558">
        <f>IF(B558&lt;&gt;"",ROW()-3,"")</f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>
      <c r="A559">
        <f>IF(B559&lt;&gt;"",ROW()-3,"")</f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>
      <c r="A560">
        <f>IF(B560&lt;&gt;"",ROW()-3,"")</f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>
      <c r="A561">
        <f>IF(B561&lt;&gt;"",ROW()-3,"")</f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>
      <c r="A562">
        <f>IF(B562&lt;&gt;"",ROW()-3,"")</f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>
      <c r="A563">
        <f>IF(B563&lt;&gt;"",ROW()-3,"")</f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>
      <c r="A564">
        <f>IF(B564&lt;&gt;"",ROW()-3,"")</f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>
      <c r="A565">
        <f>IF(B565&lt;&gt;"",ROW()-3,"")</f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>
      <c r="A566">
        <f>IF(B566&lt;&gt;"",ROW()-3,"")</f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>
      <c r="A567">
        <f>IF(B567&lt;&gt;"",ROW()-3,"")</f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>
      <c r="A568">
        <f>IF(B568&lt;&gt;"",ROW()-3,"")</f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>
      <c r="A569">
        <f>IF(B569&lt;&gt;"",ROW()-3,"")</f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>
      <c r="A570">
        <f>IF(B570&lt;&gt;"",ROW()-3,"")</f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>
      <c r="A571">
        <f>IF(B571&lt;&gt;"",ROW()-3,"")</f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>
      <c r="A572">
        <f>IF(B572&lt;&gt;"",ROW()-3,"")</f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>
      <c r="A573">
        <f>IF(B573&lt;&gt;"",ROW()-3,"")</f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>
      <c r="A574">
        <f>IF(B574&lt;&gt;"",ROW()-3,"")</f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>
      <c r="A575">
        <f>IF(B575&lt;&gt;"",ROW()-3,"")</f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>
      <c r="A576">
        <f>IF(B576&lt;&gt;"",ROW()-3,"")</f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>
      <c r="A577">
        <f>IF(B577&lt;&gt;"",ROW()-3,"")</f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>
      <c r="A578">
        <f>IF(B578&lt;&gt;"",ROW()-3,"")</f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>
      <c r="A579">
        <f>IF(B579&lt;&gt;"",ROW()-3,"")</f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>
      <c r="A580">
        <f>IF(B580&lt;&gt;"",ROW()-3,"")</f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>
      <c r="A581">
        <f>IF(B581&lt;&gt;"",ROW()-3,"")</f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>
      <c r="A582">
        <f>IF(B582&lt;&gt;"",ROW()-3,"")</f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>
      <c r="A583">
        <f>IF(B583&lt;&gt;"",ROW()-3,"")</f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>
      <c r="A584">
        <f>IF(B584&lt;&gt;"",ROW()-3,"")</f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>
      <c r="A585">
        <f>IF(B585&lt;&gt;"",ROW()-3,"")</f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>
      <c r="A586">
        <f>IF(B586&lt;&gt;"",ROW()-3,"")</f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>
      <c r="A587">
        <f>IF(B587&lt;&gt;"",ROW()-3,"")</f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>
      <c r="A588">
        <f>IF(B588&lt;&gt;"",ROW()-3,"")</f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>
      <c r="A589">
        <f>IF(B589&lt;&gt;"",ROW()-3,"")</f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>
      <c r="A590">
        <f>IF(B590&lt;&gt;"",ROW()-3,"")</f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>
      <c r="A591">
        <f>IF(B591&lt;&gt;"",ROW()-3,"")</f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>
      <c r="A592">
        <f>IF(B592&lt;&gt;"",ROW()-3,"")</f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>
      <c r="A593">
        <f>IF(B593&lt;&gt;"",ROW()-3,"")</f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>
      <c r="A594">
        <f>IF(B594&lt;&gt;"",ROW()-3,"")</f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>
      <c r="A595">
        <f>IF(B595&lt;&gt;"",ROW()-3,"")</f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>
      <c r="A596">
        <f>IF(B596&lt;&gt;"",ROW()-3,"")</f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>
      <c r="A597">
        <f>IF(B597&lt;&gt;"",ROW()-3,"")</f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>
      <c r="A598">
        <f>IF(B598&lt;&gt;"",ROW()-3,"")</f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>
      <c r="A599">
        <f>IF(B599&lt;&gt;"",ROW()-3,"")</f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>
      <c r="A600">
        <f>IF(B600&lt;&gt;"",ROW()-3,"")</f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>
      <c r="A601">
        <f>IF(B601&lt;&gt;"",ROW()-3,"")</f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>
      <c r="A602">
        <f>IF(B602&lt;&gt;"",ROW()-3,"")</f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>
      <c r="A603">
        <f>IF(B603&lt;&gt;"",ROW()-3,"")</f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>
      <c r="A604">
        <f>IF(B604&lt;&gt;"",ROW()-3,"")</f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>
      <c r="A605">
        <f>IF(B605&lt;&gt;"",ROW()-3,"")</f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>
      <c r="A606">
        <f>IF(B606&lt;&gt;"",ROW()-3,"")</f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>
      <c r="A607">
        <f>IF(B607&lt;&gt;"",ROW()-3,"")</f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>
      <c r="A608">
        <f>IF(B608&lt;&gt;"",ROW()-3,"")</f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>
      <c r="A609">
        <f>IF(B609&lt;&gt;"",ROW()-3,"")</f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>
      <c r="A610">
        <f>IF(B610&lt;&gt;"",ROW()-3,"")</f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>
      <c r="A611">
        <f>IF(B611&lt;&gt;"",ROW()-3,"")</f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>
      <c r="A612">
        <f>IF(B612&lt;&gt;"",ROW()-3,"")</f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>
      <c r="A613">
        <f>IF(B613&lt;&gt;"",ROW()-3,"")</f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>
      <c r="A614">
        <f>IF(B614&lt;&gt;"",ROW()-3,"")</f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>
      <c r="A615">
        <f>IF(B615&lt;&gt;"",ROW()-3,"")</f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>
      <c r="A616">
        <f>IF(B616&lt;&gt;"",ROW()-3,"")</f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>
      <c r="A617">
        <f>IF(B617&lt;&gt;"",ROW()-3,"")</f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>
      <c r="A618">
        <f>IF(B618&lt;&gt;"",ROW()-3,"")</f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>
      <c r="A619">
        <f>IF(B619&lt;&gt;"",ROW()-3,"")</f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>
      <c r="A620">
        <f>IF(B620&lt;&gt;"",ROW()-3,"")</f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>
      <c r="A621">
        <f>IF(B621&lt;&gt;"",ROW()-3,"")</f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>
      <c r="A622">
        <f>IF(B622&lt;&gt;"",ROW()-3,"")</f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>
      <c r="A623">
        <f>IF(B623&lt;&gt;"",ROW()-3,"")</f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>
      <c r="A624">
        <f>IF(B624&lt;&gt;"",ROW()-3,"")</f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>
      <c r="A625">
        <f>IF(B625&lt;&gt;"",ROW()-3,"")</f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>
      <c r="A626">
        <f>IF(B626&lt;&gt;"",ROW()-3,"")</f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>
      <c r="A627">
        <f>IF(B627&lt;&gt;"",ROW()-3,"")</f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>
      <c r="A628">
        <f>IF(B628&lt;&gt;"",ROW()-3,"")</f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>
      <c r="A629">
        <f>IF(B629&lt;&gt;"",ROW()-3,"")</f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>
      <c r="A630">
        <f>IF(B630&lt;&gt;"",ROW()-3,"")</f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>
      <c r="A631">
        <f>IF(B631&lt;&gt;"",ROW()-3,"")</f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>
      <c r="A632">
        <f>IF(B632&lt;&gt;"",ROW()-3,"")</f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>
      <c r="A633">
        <f>IF(B633&lt;&gt;"",ROW()-3,"")</f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>
      <c r="A634">
        <f>IF(B634&lt;&gt;"",ROW()-3,"")</f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>
      <c r="A635">
        <f>IF(B635&lt;&gt;"",ROW()-3,"")</f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>
      <c r="A636">
        <f>IF(B636&lt;&gt;"",ROW()-3,"")</f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>
      <c r="A637">
        <f>IF(B637&lt;&gt;"",ROW()-3,"")</f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>
      <c r="A638">
        <f>IF(B638&lt;&gt;"",ROW()-3,"")</f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>
      <c r="A639">
        <f>IF(B639&lt;&gt;"",ROW()-3,"")</f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>
      <c r="A640">
        <f>IF(B640&lt;&gt;"",ROW()-3,"")</f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>
      <c r="A641">
        <f>IF(B641&lt;&gt;"",ROW()-3,"")</f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>
      <c r="A642">
        <f>IF(B642&lt;&gt;"",ROW()-3,"")</f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>
      <c r="A643">
        <f>IF(B643&lt;&gt;"",ROW()-3,"")</f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>
      <c r="A644">
        <f>IF(B644&lt;&gt;"",ROW()-3,"")</f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>
      <c r="A645">
        <f>IF(B645&lt;&gt;"",ROW()-3,"")</f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>
      <c r="A646">
        <f>IF(B646&lt;&gt;"",ROW()-3,"")</f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>
      <c r="A647">
        <f>IF(B647&lt;&gt;"",ROW()-3,"")</f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>
      <c r="A648">
        <f>IF(B648&lt;&gt;"",ROW()-3,"")</f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>
      <c r="A649">
        <f>IF(B649&lt;&gt;"",ROW()-3,"")</f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>
      <c r="A650">
        <f>IF(B650&lt;&gt;"",ROW()-3,"")</f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>
      <c r="A651">
        <f>IF(B651&lt;&gt;"",ROW()-3,"")</f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>
      <c r="A652">
        <f>IF(B652&lt;&gt;"",ROW()-3,"")</f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>
      <c r="A653">
        <f>IF(B653&lt;&gt;"",ROW()-3,"")</f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>
      <c r="A654">
        <f>IF(B654&lt;&gt;"",ROW()-3,"")</f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>
      <c r="A655">
        <f>IF(B655&lt;&gt;"",ROW()-3,"")</f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>
      <c r="A656">
        <f>IF(B656&lt;&gt;"",ROW()-3,"")</f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>
      <c r="A657">
        <f>IF(B657&lt;&gt;"",ROW()-3,"")</f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>
      <c r="A658">
        <f>IF(B658&lt;&gt;"",ROW()-3,"")</f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>
      <c r="A659">
        <f>IF(B659&lt;&gt;"",ROW()-3,"")</f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>
      <c r="A660">
        <f>IF(B660&lt;&gt;"",ROW()-3,"")</f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>
      <c r="A661">
        <f>IF(B661&lt;&gt;"",ROW()-3,"")</f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>
      <c r="A662">
        <f>IF(B662&lt;&gt;"",ROW()-3,"")</f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>
      <c r="A663">
        <f>IF(B663&lt;&gt;"",ROW()-3,"")</f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>
      <c r="A664">
        <f>IF(B664&lt;&gt;"",ROW()-3,"")</f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>
      <c r="A665">
        <f>IF(B665&lt;&gt;"",ROW()-3,"")</f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>
      <c r="A666">
        <f>IF(B666&lt;&gt;"",ROW()-3,"")</f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>
      <c r="A667">
        <f>IF(B667&lt;&gt;"",ROW()-3,"")</f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>
      <c r="A668">
        <f>IF(B668&lt;&gt;"",ROW()-3,"")</f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>
      <c r="A669">
        <f>IF(B669&lt;&gt;"",ROW()-3,"")</f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>
      <c r="A670">
        <f>IF(B670&lt;&gt;"",ROW()-3,"")</f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>
      <c r="A671">
        <f>IF(B671&lt;&gt;"",ROW()-3,"")</f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>
      <c r="A672">
        <f>IF(B672&lt;&gt;"",ROW()-3,"")</f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>
      <c r="A673">
        <f>IF(B673&lt;&gt;"",ROW()-3,"")</f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>
      <c r="A674">
        <f>IF(B674&lt;&gt;"",ROW()-3,"")</f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>
      <c r="A675">
        <f>IF(B675&lt;&gt;"",ROW()-3,"")</f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>
      <c r="A676">
        <f>IF(B676&lt;&gt;"",ROW()-3,"")</f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>
      <c r="A677">
        <f>IF(B677&lt;&gt;"",ROW()-3,"")</f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>
      <c r="A678">
        <f>IF(B678&lt;&gt;"",ROW()-3,"")</f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>
      <c r="A679">
        <f>IF(B679&lt;&gt;"",ROW()-3,"")</f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>
      <c r="A680">
        <f>IF(B680&lt;&gt;"",ROW()-3,"")</f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>
      <c r="A681">
        <f>IF(B681&lt;&gt;"",ROW()-3,"")</f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>
      <c r="A682">
        <f>IF(B682&lt;&gt;"",ROW()-3,"")</f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>
      <c r="A683">
        <f>IF(B683&lt;&gt;"",ROW()-3,"")</f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>
      <c r="A684">
        <f>IF(B684&lt;&gt;"",ROW()-3,"")</f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>
      <c r="A685">
        <f>IF(B685&lt;&gt;"",ROW()-3,"")</f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>
      <c r="A686">
        <f>IF(B686&lt;&gt;"",ROW()-3,"")</f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>
      <c r="A687">
        <f>IF(B687&lt;&gt;"",ROW()-3,"")</f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>
      <c r="A688">
        <f>IF(B688&lt;&gt;"",ROW()-3,"")</f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>
      <c r="A689">
        <f>IF(B689&lt;&gt;"",ROW()-3,"")</f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>
      <c r="A690">
        <f>IF(B690&lt;&gt;"",ROW()-3,"")</f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>
      <c r="A691">
        <f>IF(B691&lt;&gt;"",ROW()-3,"")</f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>
      <c r="A692">
        <f>IF(B692&lt;&gt;"",ROW()-3,"")</f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>
      <c r="A693">
        <f>IF(B693&lt;&gt;"",ROW()-3,"")</f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>
      <c r="A694">
        <f>IF(B694&lt;&gt;"",ROW()-3,"")</f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>
      <c r="A695">
        <f>IF(B695&lt;&gt;"",ROW()-3,"")</f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>
      <c r="A696">
        <f>IF(B696&lt;&gt;"",ROW()-3,"")</f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>
      <c r="A697">
        <f>IF(B697&lt;&gt;"",ROW()-3,"")</f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>
      <c r="A698">
        <f>IF(B698&lt;&gt;"",ROW()-3,"")</f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>
      <c r="A699">
        <f>IF(B699&lt;&gt;"",ROW()-3,"")</f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>
      <c r="A700">
        <f>IF(B700&lt;&gt;"",ROW()-3,"")</f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>
      <c r="A701">
        <f>IF(B701&lt;&gt;"",ROW()-3,"")</f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>
      <c r="A702">
        <f>IF(B702&lt;&gt;"",ROW()-3,"")</f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>
      <c r="A703">
        <f>IF(B703&lt;&gt;"",ROW()-3,"")</f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</sheetData>
  <dataValidations count="5">
    <dataValidation type="list" allowBlank="1" showErrorMessage="1" sqref="C4:C703">
      <formula1>"小红书,即刻,微信社群,知识星球,公众号,朋友转介绍,其他"</formula1>
    </dataValidation>
    <dataValidation type="list" allowBlank="1" showErrorMessage="1" sqref="F4:F703">
      <formula1>"未回,已回复,已领清单,已深聊,已报价,已付款,已交付,无效"</formula1>
    </dataValidation>
    <dataValidation type="list" allowBlank="1" showErrorMessage="1" sqref="G4:G703">
      <formula1>"否,是"</formula1>
    </dataValidation>
    <dataValidation type="list" allowBlank="1" showErrorMessage="1" sqref="K4:K703">
      <formula1>"1299利润体检,999限时体检,499迷你诊断,1999恢复价"</formula1>
    </dataValidation>
    <dataValidation type="list" allowBlank="1" showErrorMessage="1" sqref="N4:N703">
      <formula1>"未开始,资料待收,诊断中,已交付,需复盘"</formula1>
    </dataValidation>
  </dataValidations>
</worksheet>
</file>

<file path=xl/worksheets/sheet3.xml><?xml version="1.0" encoding="utf-8"?>
<worksheet xmlns="http://schemas.openxmlformats.org/spreadsheetml/2006/main">
  <sheetViews>
    <sheetView showGridLines="0" workbookViewId="0"/>
  </sheetViews>
  <cols>
    <col min="1" max="1" width="8" customWidth="1"/>
    <col min="2" max="2" width="12" customWidth="1"/>
    <col min="3" max="3" width="16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3" customWidth="1"/>
    <col min="10" max="10" width="28" customWidth="1"/>
    <col min="11" max="11" width="32" customWidth="1"/>
  </cols>
  <sheetData>
    <row r="1">
      <c r="A1" t="inlineStr" s="1">
        <is>
          <t>14 天每日 KPI - Day 4 未达标就改价和改人群</t>
        </is>
      </c>
    </row>
    <row r="2">
      <c r="A2"/>
    </row>
    <row r="3">
      <c r="A3" t="inlineStr" s="2">
        <is>
          <t>Day</t>
        </is>
      </c>
      <c r="B3" t="inlineStr" s="2">
        <is>
          <t>日期</t>
        </is>
      </c>
      <c r="C3" t="inlineStr" s="2">
        <is>
          <t>阶段</t>
        </is>
      </c>
      <c r="D3" t="inlineStr" s="2">
        <is>
          <t>触达目标</t>
        </is>
      </c>
      <c r="E3" t="inlineStr" s="2">
        <is>
          <t>实际触达</t>
        </is>
      </c>
      <c r="F3" t="inlineStr" s="2">
        <is>
          <t>回复数</t>
        </is>
      </c>
      <c r="G3" t="inlineStr" s="2">
        <is>
          <t>深聊数</t>
        </is>
      </c>
      <c r="H3" t="inlineStr" s="2">
        <is>
          <t>付款数</t>
        </is>
      </c>
      <c r="I3" t="inlineStr" s="2">
        <is>
          <t>收款</t>
        </is>
      </c>
      <c r="J3" t="inlineStr" s="2">
        <is>
          <t>今日话术优化</t>
        </is>
      </c>
      <c r="K3" t="inlineStr" s="2">
        <is>
          <t>复盘备注</t>
        </is>
      </c>
    </row>
    <row r="4">
      <c r="A4">
        <v>1</v>
      </c>
      <c r="B4" s="5">
        <v>46189.666667</v>
      </c>
      <c r="C4" t="inlineStr">
        <is>
          <t>样板+销售资产</t>
        </is>
      </c>
      <c r="D4">
        <v>50</v>
      </c>
      <c r="E4">
        <f>COUNTIFS(CRM!$B$4:$B$703,B4)</f>
      </c>
      <c r="F4">
        <f>COUNTIFS(CRM!$B$4:$B$703,B4,CRM!$F$4:$F$703,"&lt;&gt;未回",CRM!$F$4:$F$703,"&lt;&gt;无效")</f>
      </c>
      <c r="G4">
        <f>COUNTIFS(CRM!$B$4:$B$703,B4,CRM!$F$4:$F$703,"已深聊")+COUNTIFS(CRM!$B$4:$B$703,B4,CRM!$F$4:$F$703,"已报价")+COUNTIFS(CRM!$B$4:$B$703,B4,CRM!$F$4:$F$703,"已付款")+COUNTIFS(CRM!$B$4:$B$703,B4,CRM!$F$4:$F$703,"已交付")</f>
      </c>
      <c r="H4">
        <f>COUNTIFS(CRM!$M$4:$M$703,B4)</f>
      </c>
      <c r="I4" s="3">
        <f>SUMIFS(CRM!$L$4:$L$703,CRM!$M$4:$M$703,B4)</f>
      </c>
      <c r="J4"/>
      <c r="K4"/>
    </row>
    <row r="5">
      <c r="A5">
        <v>2</v>
      </c>
      <c r="B5" s="5">
        <v>46190.666667</v>
      </c>
      <c r="C5" t="inlineStr">
        <is>
          <t>第一轮触达</t>
        </is>
      </c>
      <c r="D5">
        <v>50</v>
      </c>
      <c r="E5">
        <f>COUNTIFS(CRM!$B$4:$B$703,B5)</f>
      </c>
      <c r="F5">
        <f>COUNTIFS(CRM!$B$4:$B$703,B5,CRM!$F$4:$F$703,"&lt;&gt;未回",CRM!$F$4:$F$703,"&lt;&gt;无效")</f>
      </c>
      <c r="G5">
        <f>COUNTIFS(CRM!$B$4:$B$703,B5,CRM!$F$4:$F$703,"已深聊")+COUNTIFS(CRM!$B$4:$B$703,B5,CRM!$F$4:$F$703,"已报价")+COUNTIFS(CRM!$B$4:$B$703,B5,CRM!$F$4:$F$703,"已付款")+COUNTIFS(CRM!$B$4:$B$703,B5,CRM!$F$4:$F$703,"已交付")</f>
      </c>
      <c r="H5">
        <f>COUNTIFS(CRM!$M$4:$M$703,B5)</f>
      </c>
      <c r="I5" s="3">
        <f>SUMIFS(CRM!$L$4:$L$703,CRM!$M$4:$M$703,B5)</f>
      </c>
      <c r="J5"/>
      <c r="K5"/>
    </row>
    <row r="6">
      <c r="A6">
        <v>3</v>
      </c>
      <c r="B6" s="5">
        <v>46191.666667</v>
      </c>
      <c r="C6" t="inlineStr">
        <is>
          <t>第一轮触达</t>
        </is>
      </c>
      <c r="D6">
        <v>50</v>
      </c>
      <c r="E6">
        <f>COUNTIFS(CRM!$B$4:$B$703,B6)</f>
      </c>
      <c r="F6">
        <f>COUNTIFS(CRM!$B$4:$B$703,B6,CRM!$F$4:$F$703,"&lt;&gt;未回",CRM!$F$4:$F$703,"&lt;&gt;无效")</f>
      </c>
      <c r="G6">
        <f>COUNTIFS(CRM!$B$4:$B$703,B6,CRM!$F$4:$F$703,"已深聊")+COUNTIFS(CRM!$B$4:$B$703,B6,CRM!$F$4:$F$703,"已报价")+COUNTIFS(CRM!$B$4:$B$703,B6,CRM!$F$4:$F$703,"已付款")+COUNTIFS(CRM!$B$4:$B$703,B6,CRM!$F$4:$F$703,"已交付")</f>
      </c>
      <c r="H6">
        <f>COUNTIFS(CRM!$M$4:$M$703,B6)</f>
      </c>
      <c r="I6" s="3">
        <f>SUMIFS(CRM!$L$4:$L$703,CRM!$M$4:$M$703,B6)</f>
      </c>
      <c r="J6"/>
      <c r="K6"/>
    </row>
    <row r="7">
      <c r="A7">
        <v>4</v>
      </c>
      <c r="B7" s="5">
        <v>46192.666667</v>
      </c>
      <c r="C7" t="inlineStr">
        <is>
          <t>第4天校准</t>
        </is>
      </c>
      <c r="D7">
        <v>50</v>
      </c>
      <c r="E7">
        <f>COUNTIFS(CRM!$B$4:$B$703,B7)</f>
      </c>
      <c r="F7">
        <f>COUNTIFS(CRM!$B$4:$B$703,B7,CRM!$F$4:$F$703,"&lt;&gt;未回",CRM!$F$4:$F$703,"&lt;&gt;无效")</f>
      </c>
      <c r="G7">
        <f>COUNTIFS(CRM!$B$4:$B$703,B7,CRM!$F$4:$F$703,"已深聊")+COUNTIFS(CRM!$B$4:$B$703,B7,CRM!$F$4:$F$703,"已报价")+COUNTIFS(CRM!$B$4:$B$703,B7,CRM!$F$4:$F$703,"已付款")+COUNTIFS(CRM!$B$4:$B$703,B7,CRM!$F$4:$F$703,"已交付")</f>
      </c>
      <c r="H7">
        <f>COUNTIFS(CRM!$M$4:$M$703,B7)</f>
      </c>
      <c r="I7" s="3">
        <f>SUMIFS(CRM!$L$4:$L$703,CRM!$M$4:$M$703,B7)</f>
      </c>
      <c r="J7"/>
      <c r="K7"/>
    </row>
    <row r="8">
      <c r="A8">
        <v>5</v>
      </c>
      <c r="B8" s="5">
        <v>46193.666667</v>
      </c>
      <c r="C8" t="inlineStr">
        <is>
          <t>成交+交付</t>
        </is>
      </c>
      <c r="D8">
        <v>50</v>
      </c>
      <c r="E8">
        <f>COUNTIFS(CRM!$B$4:$B$703,B8)</f>
      </c>
      <c r="F8">
        <f>COUNTIFS(CRM!$B$4:$B$703,B8,CRM!$F$4:$F$703,"&lt;&gt;未回",CRM!$F$4:$F$703,"&lt;&gt;无效")</f>
      </c>
      <c r="G8">
        <f>COUNTIFS(CRM!$B$4:$B$703,B8,CRM!$F$4:$F$703,"已深聊")+COUNTIFS(CRM!$B$4:$B$703,B8,CRM!$F$4:$F$703,"已报价")+COUNTIFS(CRM!$B$4:$B$703,B8,CRM!$F$4:$F$703,"已付款")+COUNTIFS(CRM!$B$4:$B$703,B8,CRM!$F$4:$F$703,"已交付")</f>
      </c>
      <c r="H8">
        <f>COUNTIFS(CRM!$M$4:$M$703,B8)</f>
      </c>
      <c r="I8" s="3">
        <f>SUMIFS(CRM!$L$4:$L$703,CRM!$M$4:$M$703,B8)</f>
      </c>
      <c r="J8"/>
      <c r="K8"/>
    </row>
    <row r="9">
      <c r="A9">
        <v>6</v>
      </c>
      <c r="B9" s="5">
        <v>46194.666667</v>
      </c>
      <c r="C9" t="inlineStr">
        <is>
          <t>成交+交付</t>
        </is>
      </c>
      <c r="D9">
        <v>50</v>
      </c>
      <c r="E9">
        <f>COUNTIFS(CRM!$B$4:$B$703,B9)</f>
      </c>
      <c r="F9">
        <f>COUNTIFS(CRM!$B$4:$B$703,B9,CRM!$F$4:$F$703,"&lt;&gt;未回",CRM!$F$4:$F$703,"&lt;&gt;无效")</f>
      </c>
      <c r="G9">
        <f>COUNTIFS(CRM!$B$4:$B$703,B9,CRM!$F$4:$F$703,"已深聊")+COUNTIFS(CRM!$B$4:$B$703,B9,CRM!$F$4:$F$703,"已报价")+COUNTIFS(CRM!$B$4:$B$703,B9,CRM!$F$4:$F$703,"已付款")+COUNTIFS(CRM!$B$4:$B$703,B9,CRM!$F$4:$F$703,"已交付")</f>
      </c>
      <c r="H9">
        <f>COUNTIFS(CRM!$M$4:$M$703,B9)</f>
      </c>
      <c r="I9" s="3">
        <f>SUMIFS(CRM!$L$4:$L$703,CRM!$M$4:$M$703,B9)</f>
      </c>
      <c r="J9"/>
      <c r="K9"/>
    </row>
    <row r="10">
      <c r="A10">
        <v>7</v>
      </c>
      <c r="B10" s="5">
        <v>46195.666667</v>
      </c>
      <c r="C10" t="inlineStr">
        <is>
          <t>第7天校准</t>
        </is>
      </c>
      <c r="D10">
        <v>50</v>
      </c>
      <c r="E10">
        <f>COUNTIFS(CRM!$B$4:$B$703,B10)</f>
      </c>
      <c r="F10">
        <f>COUNTIFS(CRM!$B$4:$B$703,B10,CRM!$F$4:$F$703,"&lt;&gt;未回",CRM!$F$4:$F$703,"&lt;&gt;无效")</f>
      </c>
      <c r="G10">
        <f>COUNTIFS(CRM!$B$4:$B$703,B10,CRM!$F$4:$F$703,"已深聊")+COUNTIFS(CRM!$B$4:$B$703,B10,CRM!$F$4:$F$703,"已报价")+COUNTIFS(CRM!$B$4:$B$703,B10,CRM!$F$4:$F$703,"已付款")+COUNTIFS(CRM!$B$4:$B$703,B10,CRM!$F$4:$F$703,"已交付")</f>
      </c>
      <c r="H10">
        <f>COUNTIFS(CRM!$M$4:$M$703,B10)</f>
      </c>
      <c r="I10" s="3">
        <f>SUMIFS(CRM!$L$4:$L$703,CRM!$M$4:$M$703,B10)</f>
      </c>
      <c r="J10"/>
      <c r="K10"/>
    </row>
    <row r="11">
      <c r="A11">
        <v>8</v>
      </c>
      <c r="B11" s="5">
        <v>46196.666667</v>
      </c>
      <c r="C11" t="inlineStr">
        <is>
          <t>案例放大</t>
        </is>
      </c>
      <c r="D11">
        <v>50</v>
      </c>
      <c r="E11">
        <f>COUNTIFS(CRM!$B$4:$B$703,B11)</f>
      </c>
      <c r="F11">
        <f>COUNTIFS(CRM!$B$4:$B$703,B11,CRM!$F$4:$F$703,"&lt;&gt;未回",CRM!$F$4:$F$703,"&lt;&gt;无效")</f>
      </c>
      <c r="G11">
        <f>COUNTIFS(CRM!$B$4:$B$703,B11,CRM!$F$4:$F$703,"已深聊")+COUNTIFS(CRM!$B$4:$B$703,B11,CRM!$F$4:$F$703,"已报价")+COUNTIFS(CRM!$B$4:$B$703,B11,CRM!$F$4:$F$703,"已付款")+COUNTIFS(CRM!$B$4:$B$703,B11,CRM!$F$4:$F$703,"已交付")</f>
      </c>
      <c r="H11">
        <f>COUNTIFS(CRM!$M$4:$M$703,B11)</f>
      </c>
      <c r="I11" s="3">
        <f>SUMIFS(CRM!$L$4:$L$703,CRM!$M$4:$M$703,B11)</f>
      </c>
      <c r="J11"/>
      <c r="K11"/>
    </row>
    <row r="12">
      <c r="A12">
        <v>9</v>
      </c>
      <c r="B12" s="5">
        <v>46197.666667</v>
      </c>
      <c r="C12" t="inlineStr">
        <is>
          <t>案例放大</t>
        </is>
      </c>
      <c r="D12">
        <v>50</v>
      </c>
      <c r="E12">
        <f>COUNTIFS(CRM!$B$4:$B$703,B12)</f>
      </c>
      <c r="F12">
        <f>COUNTIFS(CRM!$B$4:$B$703,B12,CRM!$F$4:$F$703,"&lt;&gt;未回",CRM!$F$4:$F$703,"&lt;&gt;无效")</f>
      </c>
      <c r="G12">
        <f>COUNTIFS(CRM!$B$4:$B$703,B12,CRM!$F$4:$F$703,"已深聊")+COUNTIFS(CRM!$B$4:$B$703,B12,CRM!$F$4:$F$703,"已报价")+COUNTIFS(CRM!$B$4:$B$703,B12,CRM!$F$4:$F$703,"已付款")+COUNTIFS(CRM!$B$4:$B$703,B12,CRM!$F$4:$F$703,"已交付")</f>
      </c>
      <c r="H12">
        <f>COUNTIFS(CRM!$M$4:$M$703,B12)</f>
      </c>
      <c r="I12" s="3">
        <f>SUMIFS(CRM!$L$4:$L$703,CRM!$M$4:$M$703,B12)</f>
      </c>
      <c r="J12"/>
      <c r="K12"/>
    </row>
    <row r="13">
      <c r="A13">
        <v>10</v>
      </c>
      <c r="B13" s="5">
        <v>46198.666667</v>
      </c>
      <c r="C13" t="inlineStr">
        <is>
          <t>案例放大</t>
        </is>
      </c>
      <c r="D13">
        <v>50</v>
      </c>
      <c r="E13">
        <f>COUNTIFS(CRM!$B$4:$B$703,B13)</f>
      </c>
      <c r="F13">
        <f>COUNTIFS(CRM!$B$4:$B$703,B13,CRM!$F$4:$F$703,"&lt;&gt;未回",CRM!$F$4:$F$703,"&lt;&gt;无效")</f>
      </c>
      <c r="G13">
        <f>COUNTIFS(CRM!$B$4:$B$703,B13,CRM!$F$4:$F$703,"已深聊")+COUNTIFS(CRM!$B$4:$B$703,B13,CRM!$F$4:$F$703,"已报价")+COUNTIFS(CRM!$B$4:$B$703,B13,CRM!$F$4:$F$703,"已付款")+COUNTIFS(CRM!$B$4:$B$703,B13,CRM!$F$4:$F$703,"已交付")</f>
      </c>
      <c r="H13">
        <f>COUNTIFS(CRM!$M$4:$M$703,B13)</f>
      </c>
      <c r="I13" s="3">
        <f>SUMIFS(CRM!$L$4:$L$703,CRM!$M$4:$M$703,B13)</f>
      </c>
      <c r="J13"/>
      <c r="K13"/>
    </row>
    <row r="14">
      <c r="A14">
        <v>11</v>
      </c>
      <c r="B14" s="5">
        <v>46199.666667</v>
      </c>
      <c r="C14" t="inlineStr">
        <is>
          <t>案例放大</t>
        </is>
      </c>
      <c r="D14">
        <v>50</v>
      </c>
      <c r="E14">
        <f>COUNTIFS(CRM!$B$4:$B$703,B14)</f>
      </c>
      <c r="F14">
        <f>COUNTIFS(CRM!$B$4:$B$703,B14,CRM!$F$4:$F$703,"&lt;&gt;未回",CRM!$F$4:$F$703,"&lt;&gt;无效")</f>
      </c>
      <c r="G14">
        <f>COUNTIFS(CRM!$B$4:$B$703,B14,CRM!$F$4:$F$703,"已深聊")+COUNTIFS(CRM!$B$4:$B$703,B14,CRM!$F$4:$F$703,"已报价")+COUNTIFS(CRM!$B$4:$B$703,B14,CRM!$F$4:$F$703,"已付款")+COUNTIFS(CRM!$B$4:$B$703,B14,CRM!$F$4:$F$703,"已交付")</f>
      </c>
      <c r="H14">
        <f>COUNTIFS(CRM!$M$4:$M$703,B14)</f>
      </c>
      <c r="I14" s="3">
        <f>SUMIFS(CRM!$L$4:$L$703,CRM!$M$4:$M$703,B14)</f>
      </c>
      <c r="J14"/>
      <c r="K14"/>
    </row>
    <row r="15">
      <c r="A15">
        <v>12</v>
      </c>
      <c r="B15" s="5">
        <v>46200.666667</v>
      </c>
      <c r="C15" t="inlineStr">
        <is>
          <t>冲刺跟进</t>
        </is>
      </c>
      <c r="D15">
        <v>50</v>
      </c>
      <c r="E15">
        <f>COUNTIFS(CRM!$B$4:$B$703,B15)</f>
      </c>
      <c r="F15">
        <f>COUNTIFS(CRM!$B$4:$B$703,B15,CRM!$F$4:$F$703,"&lt;&gt;未回",CRM!$F$4:$F$703,"&lt;&gt;无效")</f>
      </c>
      <c r="G15">
        <f>COUNTIFS(CRM!$B$4:$B$703,B15,CRM!$F$4:$F$703,"已深聊")+COUNTIFS(CRM!$B$4:$B$703,B15,CRM!$F$4:$F$703,"已报价")+COUNTIFS(CRM!$B$4:$B$703,B15,CRM!$F$4:$F$703,"已付款")+COUNTIFS(CRM!$B$4:$B$703,B15,CRM!$F$4:$F$703,"已交付")</f>
      </c>
      <c r="H15">
        <f>COUNTIFS(CRM!$M$4:$M$703,B15)</f>
      </c>
      <c r="I15" s="3">
        <f>SUMIFS(CRM!$L$4:$L$703,CRM!$M$4:$M$703,B15)</f>
      </c>
      <c r="J15"/>
      <c r="K15"/>
    </row>
    <row r="16">
      <c r="A16">
        <v>13</v>
      </c>
      <c r="B16" s="5">
        <v>46201.666667</v>
      </c>
      <c r="C16" t="inlineStr">
        <is>
          <t>冲刺跟进</t>
        </is>
      </c>
      <c r="D16">
        <v>50</v>
      </c>
      <c r="E16">
        <f>COUNTIFS(CRM!$B$4:$B$703,B16)</f>
      </c>
      <c r="F16">
        <f>COUNTIFS(CRM!$B$4:$B$703,B16,CRM!$F$4:$F$703,"&lt;&gt;未回",CRM!$F$4:$F$703,"&lt;&gt;无效")</f>
      </c>
      <c r="G16">
        <f>COUNTIFS(CRM!$B$4:$B$703,B16,CRM!$F$4:$F$703,"已深聊")+COUNTIFS(CRM!$B$4:$B$703,B16,CRM!$F$4:$F$703,"已报价")+COUNTIFS(CRM!$B$4:$B$703,B16,CRM!$F$4:$F$703,"已付款")+COUNTIFS(CRM!$B$4:$B$703,B16,CRM!$F$4:$F$703,"已交付")</f>
      </c>
      <c r="H16">
        <f>COUNTIFS(CRM!$M$4:$M$703,B16)</f>
      </c>
      <c r="I16" s="3">
        <f>SUMIFS(CRM!$L$4:$L$703,CRM!$M$4:$M$703,B16)</f>
      </c>
      <c r="J16"/>
      <c r="K16"/>
    </row>
    <row r="17">
      <c r="A17">
        <v>14</v>
      </c>
      <c r="B17" s="5">
        <v>46202.666667</v>
      </c>
      <c r="C17" t="inlineStr">
        <is>
          <t>最终收款</t>
        </is>
      </c>
      <c r="D17">
        <v>50</v>
      </c>
      <c r="E17">
        <f>COUNTIFS(CRM!$B$4:$B$703,B17)</f>
      </c>
      <c r="F17">
        <f>COUNTIFS(CRM!$B$4:$B$703,B17,CRM!$F$4:$F$703,"&lt;&gt;未回",CRM!$F$4:$F$703,"&lt;&gt;无效")</f>
      </c>
      <c r="G17">
        <f>COUNTIFS(CRM!$B$4:$B$703,B17,CRM!$F$4:$F$703,"已深聊")+COUNTIFS(CRM!$B$4:$B$703,B17,CRM!$F$4:$F$703,"已报价")+COUNTIFS(CRM!$B$4:$B$703,B17,CRM!$F$4:$F$703,"已付款")+COUNTIFS(CRM!$B$4:$B$703,B17,CRM!$F$4:$F$703,"已交付")</f>
      </c>
      <c r="H17">
        <f>COUNTIFS(CRM!$M$4:$M$703,B17)</f>
      </c>
      <c r="I17" s="3">
        <f>SUMIFS(CRM!$L$4:$L$703,CRM!$M$4:$M$703,B17)</f>
      </c>
      <c r="J17"/>
      <c r="K17"/>
    </row>
  </sheetData>
</worksheet>
</file>

<file path=xl/worksheets/sheet4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14" customWidth="1"/>
    <col min="3" max="3" width="10" customWidth="1"/>
    <col min="4" max="4" width="14" customWidth="1"/>
    <col min="5" max="5" width="4" customWidth="1"/>
    <col min="6" max="6" width="18" customWidth="1"/>
    <col min="7" max="7" width="14" customWidth="1"/>
    <col min="8" max="8" width="12" customWidth="1"/>
  </cols>
  <sheetData>
    <row r="1">
      <c r="A1" t="inlineStr" s="1">
        <is>
          <t>利润体检模板 - 填写客户最近 30 天收入与成本，自动计算利润、利润率和本人时薪</t>
        </is>
      </c>
    </row>
    <row r="2">
      <c r="A2"/>
    </row>
    <row r="3">
      <c r="A3" t="inlineStr" s="2">
        <is>
          <t>收入项</t>
        </is>
      </c>
      <c r="B3" t="inlineStr" s="2">
        <is>
          <t>单价</t>
        </is>
      </c>
      <c r="C3" t="inlineStr" s="2">
        <is>
          <t>数量</t>
        </is>
      </c>
      <c r="D3" t="inlineStr" s="2">
        <is>
          <t>收入</t>
        </is>
      </c>
      <c r="E3"/>
      <c r="F3" t="inlineStr" s="2">
        <is>
          <t>成本项</t>
        </is>
      </c>
      <c r="G3" t="inlineStr" s="2">
        <is>
          <t>金额</t>
        </is>
      </c>
      <c r="H3" t="inlineStr" s="2">
        <is>
          <t>类型</t>
        </is>
      </c>
    </row>
    <row r="4">
      <c r="A4" t="inlineStr">
        <is>
          <t>单次咨询</t>
        </is>
      </c>
      <c r="B4" s="8">
        <v>599</v>
      </c>
      <c r="C4" s="7">
        <v>20</v>
      </c>
      <c r="D4" s="3">
        <f>IF(OR(B4="",C4=""),"",B4*C4)</f>
      </c>
      <c r="E4"/>
      <c r="F4" t="inlineStr">
        <is>
          <t>软件/工具</t>
        </is>
      </c>
      <c r="G4" s="8">
        <v>1200</v>
      </c>
      <c r="H4" t="inlineStr">
        <is>
          <t>固定</t>
        </is>
      </c>
    </row>
    <row r="5">
      <c r="A5" t="inlineStr">
        <is>
          <t>月度陪跑</t>
        </is>
      </c>
      <c r="B5" s="8">
        <v>3999</v>
      </c>
      <c r="C5" s="7">
        <v>3</v>
      </c>
      <c r="D5" s="3">
        <f>IF(OR(B5="",C5=""),"",B5*C5)</f>
      </c>
      <c r="E5"/>
      <c r="F5" t="inlineStr">
        <is>
          <t>社群/学习</t>
        </is>
      </c>
      <c r="G5" s="8">
        <v>1000</v>
      </c>
      <c r="H5" t="inlineStr">
        <is>
          <t>固定</t>
        </is>
      </c>
    </row>
    <row r="6">
      <c r="A6" t="inlineStr">
        <is>
          <t>资料包</t>
        </is>
      </c>
      <c r="B6" s="8">
        <v>99</v>
      </c>
      <c r="C6" s="7">
        <v>61</v>
      </c>
      <c r="D6" s="3">
        <f>IF(OR(B6="",C6=""),"",B6*C6)</f>
      </c>
      <c r="E6"/>
      <c r="F6" t="inlineStr">
        <is>
          <t>办公/设备</t>
        </is>
      </c>
      <c r="G6" s="8">
        <v>1600</v>
      </c>
      <c r="H6" t="inlineStr">
        <is>
          <t>固定</t>
        </is>
      </c>
    </row>
    <row r="7">
      <c r="A7"/>
      <c r="B7"/>
      <c r="C7"/>
      <c r="D7" s="3">
        <f>IF(OR(B7="",C7=""),"",B7*C7)</f>
      </c>
      <c r="E7"/>
      <c r="F7" t="inlineStr">
        <is>
          <t>外包整理</t>
        </is>
      </c>
      <c r="G7" s="8">
        <v>3000</v>
      </c>
      <c r="H7" t="inlineStr">
        <is>
          <t>变动</t>
        </is>
      </c>
    </row>
    <row r="8">
      <c r="A8"/>
      <c r="B8"/>
      <c r="C8"/>
      <c r="D8" s="3">
        <f>IF(OR(B8="",C8=""),"",B8*C8)</f>
      </c>
      <c r="E8"/>
      <c r="F8" t="inlineStr">
        <is>
          <t>平台手续费</t>
        </is>
      </c>
      <c r="G8" s="8">
        <v>1200</v>
      </c>
      <c r="H8" t="inlineStr">
        <is>
          <t>变动</t>
        </is>
      </c>
    </row>
    <row r="9">
      <c r="A9"/>
      <c r="B9"/>
      <c r="C9"/>
      <c r="D9" s="3">
        <f>IF(OR(B9="",C9=""),"",B9*C9)</f>
      </c>
      <c r="E9"/>
      <c r="F9" t="inlineStr">
        <is>
          <t>材料/交付</t>
        </is>
      </c>
      <c r="G9" s="8">
        <v>1000</v>
      </c>
      <c r="H9" t="inlineStr">
        <is>
          <t>变动</t>
        </is>
      </c>
    </row>
    <row r="10">
      <c r="A10"/>
      <c r="B10"/>
      <c r="C10"/>
      <c r="D10" s="3">
        <f>IF(OR(B10="",C10=""),"",B10*C10)</f>
      </c>
      <c r="E10"/>
      <c r="F10"/>
      <c r="G10"/>
      <c r="H10"/>
    </row>
    <row r="11">
      <c r="A11"/>
      <c r="B11"/>
      <c r="C11"/>
      <c r="D11" s="3">
        <f>IF(OR(B11="",C11=""),"",B11*C11)</f>
      </c>
      <c r="E11"/>
      <c r="F11"/>
      <c r="G11"/>
      <c r="H11"/>
    </row>
    <row r="12">
      <c r="A12"/>
      <c r="B12"/>
      <c r="C12"/>
      <c r="D12" s="3">
        <f>IF(OR(B12="",C12=""),"",B12*C12)</f>
      </c>
      <c r="E12"/>
      <c r="F12"/>
      <c r="G12"/>
      <c r="H12"/>
    </row>
    <row r="13">
      <c r="A13" t="inlineStr">
        <is>
          <t>收入合计</t>
        </is>
      </c>
      <c r="B13"/>
      <c r="C13"/>
      <c r="D13" s="3">
        <f>SUM(D4:D12)</f>
      </c>
      <c r="E13"/>
      <c r="F13" t="inlineStr">
        <is>
          <t>成本合计</t>
        </is>
      </c>
      <c r="G13" s="3">
        <f>SUM(G4:G12)</f>
      </c>
      <c r="H13"/>
    </row>
    <row r="14">
      <c r="A14"/>
    </row>
    <row r="15">
      <c r="A15" t="inlineStr" s="2">
        <is>
          <t>经营快照</t>
        </is>
      </c>
      <c r="B15" t="inlineStr" s="2">
        <is>
          <t>当前值</t>
        </is>
      </c>
      <c r="C15"/>
      <c r="D15" t="inlineStr" s="2">
        <is>
          <t>3 个利润漏洞</t>
        </is>
      </c>
      <c r="E15"/>
      <c r="F15"/>
      <c r="G15"/>
      <c r="H15"/>
    </row>
    <row r="16">
      <c r="A16" t="inlineStr">
        <is>
          <t>总收入</t>
        </is>
      </c>
      <c r="B16" s="3">
        <f>D13</f>
      </c>
      <c r="C16"/>
      <c r="D16" t="inlineStr">
        <is>
          <t>漏洞 1</t>
        </is>
      </c>
      <c r="E16" t="inlineStr">
        <is>
          <t>单次咨询交付碎片化，吃掉注意力。</t>
        </is>
      </c>
      <c r="F16"/>
      <c r="G16"/>
      <c r="H16"/>
    </row>
    <row r="17">
      <c r="A17" t="inlineStr">
        <is>
          <t>总成本</t>
        </is>
      </c>
      <c r="B17" s="3">
        <f>G13</f>
      </c>
      <c r="C17"/>
      <c r="D17" t="inlineStr">
        <is>
          <t>证据</t>
        </is>
      </c>
      <c r="E17" t="inlineStr">
        <is>
          <t>收入不低，但需要大量零散沟通。</t>
        </is>
      </c>
      <c r="F17"/>
      <c r="G17"/>
      <c r="H17"/>
    </row>
    <row r="18">
      <c r="A18" t="inlineStr">
        <is>
          <t>估算利润</t>
        </is>
      </c>
      <c r="B18" s="3">
        <f>B16-B17</f>
      </c>
      <c r="C18"/>
      <c r="D18" t="inlineStr">
        <is>
          <t>动作</t>
        </is>
      </c>
      <c r="E18" t="inlineStr">
        <is>
          <t>把单次咨询降级为筛选入口。</t>
        </is>
      </c>
      <c r="F18"/>
      <c r="G18"/>
      <c r="H18"/>
    </row>
    <row r="19">
      <c r="A19" t="inlineStr">
        <is>
          <t>估算利润率</t>
        </is>
      </c>
      <c r="B19" s="4">
        <f>IF(B16=0,0,B18/B16)</f>
      </c>
      <c r="C19"/>
      <c r="D19" t="inlineStr">
        <is>
          <t>漏洞 2</t>
        </is>
      </c>
      <c r="E19" t="inlineStr">
        <is>
          <t>资料包成交多，但没有升单路径。</t>
        </is>
      </c>
      <c r="F19"/>
      <c r="G19"/>
      <c r="H19"/>
    </row>
    <row r="20">
      <c r="A20" t="inlineStr">
        <is>
          <t>本人交付小时</t>
        </is>
      </c>
      <c r="B20" s="7">
        <v>95</v>
      </c>
      <c r="C20"/>
      <c r="D20" t="inlineStr">
        <is>
          <t>动作</t>
        </is>
      </c>
      <c r="E20" t="inlineStr">
        <is>
          <t>资料包购买后 24 小时内引导轻诊断。</t>
        </is>
      </c>
      <c r="F20"/>
      <c r="G20"/>
      <c r="H20"/>
    </row>
    <row r="21">
      <c r="A21" t="inlineStr">
        <is>
          <t>估算本人时薪</t>
        </is>
      </c>
      <c r="B21" s="3">
        <f>IF(B20=0,0,B18/B20)</f>
      </c>
      <c r="C21"/>
      <c r="D21" t="inlineStr">
        <is>
          <t>漏洞 3</t>
        </is>
      </c>
      <c r="E21" t="inlineStr">
        <is>
          <t>高利润陪跑没有成为主推入口。</t>
        </is>
      </c>
      <c r="F21"/>
      <c r="G21"/>
      <c r="H21"/>
    </row>
    <row r="22">
      <c r="A22" t="inlineStr">
        <is>
          <t>最赚钱收入项</t>
        </is>
      </c>
      <c r="B22">
        <f>INDEX(A4:A12,MATCH(MAX(D4:D12),D4:D12,0))</f>
      </c>
      <c r="C22"/>
      <c r="D22" t="inlineStr">
        <is>
          <t>30 天动作</t>
        </is>
      </c>
      <c r="E22" t="inlineStr">
        <is>
          <t>把 3999 元陪跑改为核心报价。</t>
        </is>
      </c>
      <c r="F22"/>
      <c r="G22"/>
      <c r="H22"/>
    </row>
    <row r="23">
      <c r="A23" t="inlineStr">
        <is>
          <t>最大成本项</t>
        </is>
      </c>
      <c r="B23">
        <f>INDEX(F4:F12,MATCH(MAX(G4:G12),G4:G12,0))</f>
      </c>
      <c r="C23"/>
      <c r="D23"/>
      <c r="E23"/>
      <c r="F23"/>
      <c r="G23"/>
      <c r="H23"/>
    </row>
  </sheetData>
  <dataValidations count="1">
    <dataValidation type="list" allowBlank="1" showErrorMessage="1" sqref="H4:H12">
      <formula1>"固定,变动"</formula1>
    </dataValidation>
  </dataValidations>
</worksheet>
</file>

<file path=xl/worksheets/sheet5.xml><?xml version="1.0" encoding="utf-8"?>
<worksheet xmlns="http://schemas.openxmlformats.org/spreadsheetml/2006/main">
  <sheetViews>
    <sheetView showGridLines="0" workbookViewId="0"/>
  </sheetViews>
  <cols>
    <col min="1" max="1" width="18" customWidth="1"/>
    <col min="2" max="2" width="12" customWidth="1"/>
    <col min="3" max="3" width="12" customWidth="1"/>
    <col min="4" max="4" width="14" customWidth="1"/>
    <col min="5" max="5" width="14" customWidth="1"/>
    <col min="6" max="6" width="12" customWidth="1"/>
    <col min="7" max="7" width="14" customWidth="1"/>
    <col min="8" max="8" width="20" customWidth="1"/>
  </cols>
  <sheetData>
    <row r="1">
      <c r="A1" t="inlineStr" s="1">
        <is>
          <t>报价/套餐测算 - 输入价格、预计成交和交付小时，判断哪个服务最值得主推</t>
        </is>
      </c>
    </row>
    <row r="2">
      <c r="A2"/>
    </row>
    <row r="3">
      <c r="A3" t="inlineStr" s="2">
        <is>
          <t>套餐</t>
        </is>
      </c>
      <c r="B3" t="inlineStr" s="2">
        <is>
          <t>价格</t>
        </is>
      </c>
      <c r="C3" t="inlineStr" s="2">
        <is>
          <t>预计月销量</t>
        </is>
      </c>
      <c r="D3" t="inlineStr" s="2">
        <is>
          <t>月收入</t>
        </is>
      </c>
      <c r="E3" t="inlineStr" s="2">
        <is>
          <t>每单交付小时</t>
        </is>
      </c>
      <c r="F3" t="inlineStr" s="2">
        <is>
          <t>总小时</t>
        </is>
      </c>
      <c r="G3" t="inlineStr" s="2">
        <is>
          <t>收入/小时</t>
        </is>
      </c>
      <c r="H3" t="inlineStr" s="2">
        <is>
          <t>建议</t>
        </is>
      </c>
    </row>
    <row r="4">
      <c r="A4" t="inlineStr">
        <is>
          <t>499 轻诊断</t>
        </is>
      </c>
      <c r="B4" s="8">
        <v>499</v>
      </c>
      <c r="C4" s="7">
        <v>6</v>
      </c>
      <c r="D4" s="3">
        <f>IF(OR(B4="",C4=""),"",B4*C4)</f>
      </c>
      <c r="E4" s="7">
        <v>1</v>
      </c>
      <c r="F4">
        <f>IF(OR(C4="",E4=""),"",C4*E4)</f>
      </c>
      <c r="G4" s="3">
        <f>IF(F4=0,"",D4/F4)</f>
      </c>
      <c r="H4" t="inlineStr">
        <is>
          <t>获客/筛选入口</t>
        </is>
      </c>
    </row>
    <row r="5">
      <c r="A5" t="inlineStr">
        <is>
          <t>1299 利润体检</t>
        </is>
      </c>
      <c r="B5" s="8">
        <v>1299</v>
      </c>
      <c r="C5" s="7">
        <v>4</v>
      </c>
      <c r="D5" s="3">
        <f>IF(OR(B5="",C5=""),"",B5*C5)</f>
      </c>
      <c r="E5" s="7">
        <v>3</v>
      </c>
      <c r="F5">
        <f>IF(OR(C5="",E5=""),"",C5*E5)</f>
      </c>
      <c r="G5" s="3">
        <f>IF(F5=0,"",D5/F5)</f>
      </c>
      <c r="H5" t="inlineStr">
        <is>
          <t>两周主推</t>
        </is>
      </c>
    </row>
    <row r="6">
      <c r="A6" t="inlineStr">
        <is>
          <t>3999 月度陪跑</t>
        </is>
      </c>
      <c r="B6" s="8">
        <v>3999</v>
      </c>
      <c r="C6" s="7">
        <v>2</v>
      </c>
      <c r="D6" s="3">
        <f>IF(OR(B6="",C6=""),"",B6*C6)</f>
      </c>
      <c r="E6" s="7">
        <v>8</v>
      </c>
      <c r="F6">
        <f>IF(OR(C6="",E6=""),"",C6*E6)</f>
      </c>
      <c r="G6" s="3">
        <f>IF(F6=0,"",D6/F6)</f>
      </c>
      <c r="H6" t="inlineStr">
        <is>
          <t>高利润核心</t>
        </is>
      </c>
    </row>
    <row r="7">
      <c r="A7" t="inlineStr">
        <is>
          <t>6999 深度陪跑</t>
        </is>
      </c>
      <c r="B7" s="8">
        <v>6999</v>
      </c>
      <c r="C7" s="7">
        <v>1</v>
      </c>
      <c r="D7" s="3">
        <f>IF(OR(B7="",C7=""),"",B7*C7)</f>
      </c>
      <c r="E7" s="7">
        <v>14</v>
      </c>
      <c r="F7">
        <f>IF(OR(C7="",E7=""),"",C7*E7)</f>
      </c>
      <c r="G7" s="3">
        <f>IF(F7=0,"",D7/F7)</f>
      </c>
      <c r="H7" t="inlineStr">
        <is>
          <t>限量高阶</t>
        </is>
      </c>
    </row>
    <row r="8">
      <c r="A8" t="inlineStr">
        <is>
          <t>合计</t>
        </is>
      </c>
      <c r="B8"/>
      <c r="C8"/>
      <c r="D8" s="3">
        <f>SUM(D4:D7)</f>
      </c>
      <c r="E8"/>
      <c r="F8">
        <f>SUM(F4:F7)</f>
      </c>
      <c r="G8" s="3">
        <f>IF(F8=0,"",D8/F8)</f>
      </c>
      <c r="H8"/>
    </row>
  </sheetData>
</worksheet>
</file>

<file path=xl/worksheets/sheet6.xml><?xml version="1.0" encoding="utf-8"?>
<worksheet xmlns="http://schemas.openxmlformats.org/spreadsheetml/2006/main">
  <sheetViews>
    <sheetView showGridLines="0" workbookViewId="0"/>
  </sheetViews>
  <cols>
    <col min="1" max="1" width="1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t="inlineStr" s="1">
        <is>
          <t>未来 8 周现金流预警 - 输入每周确定收款和支出，自动标记风险周</t>
        </is>
      </c>
    </row>
    <row r="2">
      <c r="A2"/>
    </row>
    <row r="3">
      <c r="A3" t="inlineStr" s="2">
        <is>
          <t>项目</t>
        </is>
      </c>
      <c r="B3" t="inlineStr" s="2">
        <is>
          <t>Week 1</t>
        </is>
      </c>
      <c r="C3" t="inlineStr" s="2">
        <is>
          <t>Week 2</t>
        </is>
      </c>
      <c r="D3" t="inlineStr" s="2">
        <is>
          <t>Week 3</t>
        </is>
      </c>
      <c r="E3" t="inlineStr" s="2">
        <is>
          <t>Week 4</t>
        </is>
      </c>
      <c r="F3" t="inlineStr" s="2">
        <is>
          <t>Week 5</t>
        </is>
      </c>
      <c r="G3" t="inlineStr" s="2">
        <is>
          <t>Week 6</t>
        </is>
      </c>
      <c r="H3" t="inlineStr" s="2">
        <is>
          <t>Week 7</t>
        </is>
      </c>
      <c r="I3" t="inlineStr" s="2">
        <is>
          <t>Week 8</t>
        </is>
      </c>
      <c r="J3" t="inlineStr" s="2">
        <is>
          <t>合计</t>
        </is>
      </c>
    </row>
    <row r="4">
      <c r="A4" t="inlineStr">
        <is>
          <t>期初现金</t>
        </is>
      </c>
      <c r="B4" s="8">
        <v>5000</v>
      </c>
      <c r="C4" s="3">
        <f>B8</f>
      </c>
      <c r="D4" s="3">
        <f>C8</f>
      </c>
      <c r="E4" s="3">
        <f>D8</f>
      </c>
      <c r="F4" s="3">
        <f>E8</f>
      </c>
      <c r="G4" s="3">
        <f>F8</f>
      </c>
      <c r="H4" s="3">
        <f>G8</f>
      </c>
      <c r="I4" s="3">
        <f>H8</f>
      </c>
      <c r="J4"/>
    </row>
    <row r="5">
      <c r="A5" t="inlineStr">
        <is>
          <t>确定收款</t>
        </is>
      </c>
      <c r="B5" s="8">
        <v>1299</v>
      </c>
      <c r="C5" s="8">
        <v>1299</v>
      </c>
      <c r="D5" s="8">
        <v>0</v>
      </c>
      <c r="E5" s="8">
        <v>1299</v>
      </c>
      <c r="F5" s="8">
        <v>0</v>
      </c>
      <c r="G5" s="8">
        <v>0</v>
      </c>
      <c r="H5" s="8">
        <v>1299</v>
      </c>
      <c r="I5" s="8">
        <v>0</v>
      </c>
      <c r="J5" s="3">
        <f>SUM(B5:I5)</f>
      </c>
    </row>
    <row r="6">
      <c r="A6" t="inlineStr">
        <is>
          <t>确定支出</t>
        </is>
      </c>
      <c r="B6" s="8">
        <v>1800</v>
      </c>
      <c r="C6" s="8">
        <v>1200</v>
      </c>
      <c r="D6" s="8">
        <v>1600</v>
      </c>
      <c r="E6" s="8">
        <v>1200</v>
      </c>
      <c r="F6" s="8">
        <v>2800</v>
      </c>
      <c r="G6" s="8">
        <v>1200</v>
      </c>
      <c r="H6" s="8">
        <v>1200</v>
      </c>
      <c r="I6" s="8">
        <v>1600</v>
      </c>
      <c r="J6" s="3">
        <f>SUM(B6:I6)</f>
      </c>
    </row>
    <row r="7">
      <c r="A7" t="inlineStr">
        <is>
          <t>净现金流</t>
        </is>
      </c>
      <c r="B7" s="3">
        <f>B5-B6</f>
      </c>
      <c r="C7" s="3">
        <f>C5-C6</f>
      </c>
      <c r="D7" s="3">
        <f>D5-D6</f>
      </c>
      <c r="E7" s="3">
        <f>E5-E6</f>
      </c>
      <c r="F7" s="3">
        <f>F5-F6</f>
      </c>
      <c r="G7" s="3">
        <f>G5-G6</f>
      </c>
      <c r="H7" s="3">
        <f>H5-H6</f>
      </c>
      <c r="I7" s="3">
        <f>I5-I6</f>
      </c>
      <c r="J7" s="3">
        <f>SUM(B7:I7)</f>
      </c>
    </row>
    <row r="8">
      <c r="A8" t="inlineStr">
        <is>
          <t>期末现金</t>
        </is>
      </c>
      <c r="B8" s="3">
        <f>B4+B7</f>
      </c>
      <c r="C8" s="3">
        <f>C4+C7</f>
      </c>
      <c r="D8" s="3">
        <f>D4+D7</f>
      </c>
      <c r="E8" s="3">
        <f>E4+E7</f>
      </c>
      <c r="F8" s="3">
        <f>F4+F7</f>
      </c>
      <c r="G8" s="3">
        <f>G4+G7</f>
      </c>
      <c r="H8" s="3">
        <f>H4+H7</f>
      </c>
      <c r="I8" s="3">
        <f>I4+I7</f>
      </c>
      <c r="J8" s="3">
        <f>I8</f>
      </c>
    </row>
    <row r="9">
      <c r="A9" t="inlineStr">
        <is>
          <t>最低安全现金</t>
        </is>
      </c>
      <c r="B9" s="8">
        <v>3000</v>
      </c>
      <c r="C9" s="8">
        <v>3000</v>
      </c>
      <c r="D9" s="8">
        <v>3000</v>
      </c>
      <c r="E9" s="8">
        <v>3000</v>
      </c>
      <c r="F9" s="8">
        <v>3000</v>
      </c>
      <c r="G9" s="8">
        <v>3000</v>
      </c>
      <c r="H9" s="8">
        <v>3000</v>
      </c>
      <c r="I9" s="8">
        <v>3000</v>
      </c>
      <c r="J9"/>
    </row>
    <row r="10">
      <c r="A10" t="inlineStr">
        <is>
          <t>风险状态</t>
        </is>
      </c>
      <c r="B10">
        <f>IF(B8&lt;B9,"风险",IF(B8&lt;B9*1.5,"关注","OK"))</f>
      </c>
      <c r="C10">
        <f>IF(C8&lt;C9,"风险",IF(C8&lt;C9*1.5,"关注","OK"))</f>
      </c>
      <c r="D10">
        <f>IF(D8&lt;D9,"风险",IF(D8&lt;D9*1.5,"关注","OK"))</f>
      </c>
      <c r="E10">
        <f>IF(E8&lt;E9,"风险",IF(E8&lt;E9*1.5,"关注","OK"))</f>
      </c>
      <c r="F10">
        <f>IF(F8&lt;F9,"风险",IF(F8&lt;F9*1.5,"关注","OK"))</f>
      </c>
      <c r="G10">
        <f>IF(G8&lt;G9,"风险",IF(G8&lt;G9*1.5,"关注","OK"))</f>
      </c>
      <c r="H10">
        <f>IF(H8&lt;H9,"风险",IF(H8&lt;H9*1.5,"关注","OK"))</f>
      </c>
      <c r="I10">
        <f>IF(I8&lt;I9,"风险",IF(I8&lt;I9*1.5,"关注","OK"))</f>
      </c>
      <c r="J10"/>
    </row>
    <row r="11">
      <c r="A11" t="inlineStr">
        <is>
          <t>建议动作</t>
        </is>
      </c>
      <c r="B11">
        <f>IF(B10="风险","提前收款/砍支出",IF(B10="关注","跟进应收款","维持"))</f>
      </c>
      <c r="C11">
        <f>IF(C10="风险","提前收款/砍支出",IF(C10="关注","跟进应收款","维持"))</f>
      </c>
      <c r="D11">
        <f>IF(D10="风险","提前收款/砍支出",IF(D10="关注","跟进应收款","维持"))</f>
      </c>
      <c r="E11">
        <f>IF(E10="风险","提前收款/砍支出",IF(E10="关注","跟进应收款","维持"))</f>
      </c>
      <c r="F11">
        <f>IF(F10="风险","提前收款/砍支出",IF(F10="关注","跟进应收款","维持"))</f>
      </c>
      <c r="G11">
        <f>IF(G10="风险","提前收款/砍支出",IF(G10="关注","跟进应收款","维持"))</f>
      </c>
      <c r="H11">
        <f>IF(H10="风险","提前收款/砍支出",IF(H10="关注","跟进应收款","维持"))</f>
      </c>
      <c r="I11">
        <f>IF(I10="风险","提前收款/砍支出",IF(I10="关注","跟进应收款","维持"))</f>
      </c>
      <c r="J11"/>
    </row>
  </sheetData>
</worksheet>
</file>

<file path=xl/worksheets/sheet7.xml><?xml version="1.0" encoding="utf-8"?>
<worksheet xmlns="http://schemas.openxmlformats.org/spreadsheetml/2006/main">
  <sheetViews>
    <sheetView showGridLines="0" workbookViewId="0"/>
  </sheetViews>
  <cols>
    <col min="1" max="1" width="10" customWidth="1"/>
    <col min="2" max="2" width="34" customWidth="1"/>
    <col min="3" max="3" width="10" customWidth="1"/>
    <col min="4" max="4" width="18" customWidth="1"/>
    <col min="5" max="5" width="12" customWidth="1"/>
    <col min="6" max="6" width="28" customWidth="1"/>
  </cols>
  <sheetData>
    <row r="1">
      <c r="A1" t="inlineStr" s="1">
        <is>
          <t>交付检查表 - 每个已付款客户都复制一组检查，保证 48 小时内交付完整</t>
        </is>
      </c>
    </row>
    <row r="2">
      <c r="A2"/>
    </row>
    <row r="3">
      <c r="A3" t="inlineStr" s="2">
        <is>
          <t>阶段</t>
        </is>
      </c>
      <c r="B3" t="inlineStr" s="2">
        <is>
          <t>任务</t>
        </is>
      </c>
      <c r="C3" t="inlineStr" s="2">
        <is>
          <t>负责人</t>
        </is>
      </c>
      <c r="D3" t="inlineStr" s="2">
        <is>
          <t>截止时间</t>
        </is>
      </c>
      <c r="E3" t="inlineStr" s="2">
        <is>
          <t>状态</t>
        </is>
      </c>
      <c r="F3" t="inlineStr" s="2">
        <is>
          <t>备注</t>
        </is>
      </c>
    </row>
    <row r="4">
      <c r="A4" t="inlineStr">
        <is>
          <t>收集</t>
        </is>
      </c>
      <c r="B4" t="inlineStr">
        <is>
          <t>确认付款并锁定 48 小时交付时间</t>
        </is>
      </c>
      <c r="C4" t="inlineStr">
        <is>
          <t>我</t>
        </is>
      </c>
      <c r="D4"/>
      <c r="E4" t="inlineStr">
        <is>
          <t>未开始</t>
        </is>
      </c>
      <c r="F4"/>
    </row>
    <row r="5">
      <c r="A5" t="inlineStr">
        <is>
          <t>收集</t>
        </is>
      </c>
      <c r="B5" t="inlineStr">
        <is>
          <t>收集最近 30 天收入明细</t>
        </is>
      </c>
      <c r="C5" t="inlineStr">
        <is>
          <t>客户</t>
        </is>
      </c>
      <c r="D5"/>
      <c r="E5" t="inlineStr">
        <is>
          <t>未开始</t>
        </is>
      </c>
      <c r="F5"/>
    </row>
    <row r="6">
      <c r="A6" t="inlineStr">
        <is>
          <t>收集</t>
        </is>
      </c>
      <c r="B6" t="inlineStr">
        <is>
          <t>收集最近 30 天成本明细</t>
        </is>
      </c>
      <c r="C6" t="inlineStr">
        <is>
          <t>客户</t>
        </is>
      </c>
      <c r="D6"/>
      <c r="E6" t="inlineStr">
        <is>
          <t>未开始</t>
        </is>
      </c>
      <c r="F6"/>
    </row>
    <row r="7">
      <c r="A7" t="inlineStr">
        <is>
          <t>收集</t>
        </is>
      </c>
      <c r="B7" t="inlineStr">
        <is>
          <t>收集当前报价和交付小时</t>
        </is>
      </c>
      <c r="C7" t="inlineStr">
        <is>
          <t>客户</t>
        </is>
      </c>
      <c r="D7"/>
      <c r="E7" t="inlineStr">
        <is>
          <t>未开始</t>
        </is>
      </c>
      <c r="F7"/>
    </row>
    <row r="8">
      <c r="A8" t="inlineStr">
        <is>
          <t>收集</t>
        </is>
      </c>
      <c r="B8" t="inlineStr">
        <is>
          <t>收集未来 8 周确定收支</t>
        </is>
      </c>
      <c r="C8" t="inlineStr">
        <is>
          <t>客户</t>
        </is>
      </c>
      <c r="D8"/>
      <c r="E8" t="inlineStr">
        <is>
          <t>未开始</t>
        </is>
      </c>
      <c r="F8"/>
    </row>
    <row r="9">
      <c r="A9" t="inlineStr">
        <is>
          <t>诊断</t>
        </is>
      </c>
      <c r="B9" t="inlineStr">
        <is>
          <t>填写利润体检模板</t>
        </is>
      </c>
      <c r="C9" t="inlineStr">
        <is>
          <t>我</t>
        </is>
      </c>
      <c r="D9"/>
      <c r="E9" t="inlineStr">
        <is>
          <t>未开始</t>
        </is>
      </c>
      <c r="F9"/>
    </row>
    <row r="10">
      <c r="A10" t="inlineStr">
        <is>
          <t>诊断</t>
        </is>
      </c>
      <c r="B10" t="inlineStr">
        <is>
          <t>找出 3 个利润漏洞</t>
        </is>
      </c>
      <c r="C10" t="inlineStr">
        <is>
          <t>我</t>
        </is>
      </c>
      <c r="D10"/>
      <c r="E10" t="inlineStr">
        <is>
          <t>未开始</t>
        </is>
      </c>
      <c r="F10"/>
    </row>
    <row r="11">
      <c r="A11" t="inlineStr">
        <is>
          <t>诊断</t>
        </is>
      </c>
      <c r="B11" t="inlineStr">
        <is>
          <t>完成报价/套餐测算</t>
        </is>
      </c>
      <c r="C11" t="inlineStr">
        <is>
          <t>我</t>
        </is>
      </c>
      <c r="D11"/>
      <c r="E11" t="inlineStr">
        <is>
          <t>未开始</t>
        </is>
      </c>
      <c r="F11"/>
    </row>
    <row r="12">
      <c r="A12" t="inlineStr">
        <is>
          <t>诊断</t>
        </is>
      </c>
      <c r="B12" t="inlineStr">
        <is>
          <t>完成 8 周现金流预警</t>
        </is>
      </c>
      <c r="C12" t="inlineStr">
        <is>
          <t>我</t>
        </is>
      </c>
      <c r="D12"/>
      <c r="E12" t="inlineStr">
        <is>
          <t>未开始</t>
        </is>
      </c>
      <c r="F12"/>
    </row>
    <row r="13">
      <c r="A13" t="inlineStr">
        <is>
          <t>交付</t>
        </is>
      </c>
      <c r="B13" t="inlineStr">
        <is>
          <t>输出 30 天唯一优先动作</t>
        </is>
      </c>
      <c r="C13" t="inlineStr">
        <is>
          <t>我</t>
        </is>
      </c>
      <c r="D13"/>
      <c r="E13" t="inlineStr">
        <is>
          <t>未开始</t>
        </is>
      </c>
      <c r="F13"/>
    </row>
    <row r="14">
      <c r="A14" t="inlineStr">
        <is>
          <t>交付</t>
        </is>
      </c>
      <c r="B14" t="inlineStr">
        <is>
          <t>写 3 条客户沟通话术</t>
        </is>
      </c>
      <c r="C14" t="inlineStr">
        <is>
          <t>我</t>
        </is>
      </c>
      <c r="D14"/>
      <c r="E14" t="inlineStr">
        <is>
          <t>未开始</t>
        </is>
      </c>
      <c r="F14"/>
    </row>
    <row r="15">
      <c r="A15" t="inlineStr">
        <is>
          <t>交付</t>
        </is>
      </c>
      <c r="B15" t="inlineStr">
        <is>
          <t>发送表格、文档和语音讲解</t>
        </is>
      </c>
      <c r="C15" t="inlineStr">
        <is>
          <t>我</t>
        </is>
      </c>
      <c r="D15"/>
      <c r="E15" t="inlineStr">
        <is>
          <t>未开始</t>
        </is>
      </c>
      <c r="F15"/>
    </row>
    <row r="16">
      <c r="A16" t="inlineStr">
        <is>
          <t>复盘</t>
        </is>
      </c>
      <c r="B16" t="inlineStr">
        <is>
          <t>确认是否需要 30 分钟补充复盘</t>
        </is>
      </c>
      <c r="C16" t="inlineStr">
        <is>
          <t>我</t>
        </is>
      </c>
      <c r="D16"/>
      <c r="E16" t="inlineStr">
        <is>
          <t>未开始</t>
        </is>
      </c>
      <c r="F16"/>
    </row>
  </sheetData>
  <dataValidations count="1">
    <dataValidation type="list" allowBlank="1" showErrorMessage="1" sqref="E4:E16">
      <formula1>"未开始,进行中,已完成,卡住"</formula1>
    </dataValidation>
  </dataValidations>
</worksheet>
</file>

<file path=xl/worksheets/sheet8.xml><?xml version="1.0" encoding="utf-8"?>
<worksheet xmlns="http://schemas.openxmlformats.org/spreadsheetml/2006/main">
  <sheetViews>
    <sheetView showGridLines="0" workbookViewId="0"/>
  </sheetViews>
  <cols>
    <col min="1" max="1" width="12" customWidth="1"/>
    <col min="2" max="2" width="18" customWidth="1"/>
    <col min="3" max="3" width="70" customWidth="1"/>
    <col min="4" max="4" width="22" customWidth="1"/>
  </cols>
  <sheetData>
    <row r="1">
      <c r="A1" t="inlineStr" s="1">
        <is>
          <t>话术库 - 复制到私信/微信后按客户行业微调</t>
        </is>
      </c>
    </row>
    <row r="2">
      <c r="A2"/>
    </row>
    <row r="3">
      <c r="A3" t="inlineStr" s="2">
        <is>
          <t>场景</t>
        </is>
      </c>
      <c r="B3" t="inlineStr" s="2">
        <is>
          <t>目标</t>
        </is>
      </c>
      <c r="C3" t="inlineStr" s="2">
        <is>
          <t>话术</t>
        </is>
      </c>
      <c r="D3" t="inlineStr" s="2">
        <is>
          <t>下一步</t>
        </is>
      </c>
    </row>
    <row r="4">
      <c r="A4" t="inlineStr">
        <is>
          <t>冷触达</t>
        </is>
      </c>
      <c r="B4" t="inlineStr">
        <is>
          <t>领取自查清单</t>
        </is>
      </c>
      <c r="C4" t="inlineStr">
        <is>
          <t>你好，我看到你在做一人公司/咨询/陪跑类业务。我整理了一份免费「利润漏洞自查清单」，能快速看报价、交付和现金流有没有漏钱点。你要的话我发你。</t>
        </is>
      </c>
      <c r="D4" t="inlineStr">
        <is>
          <t>对方回复后发清单</t>
        </is>
      </c>
    </row>
    <row r="5">
      <c r="A5" t="inlineStr">
        <is>
          <t>清单后跟进</t>
        </is>
      </c>
      <c r="B5" t="inlineStr">
        <is>
          <t>拿到3个关键信息</t>
        </is>
      </c>
      <c r="C5" t="inlineStr">
        <is>
          <t>你可以先回答 3 个：最近30天收入大概多少？主要成本或最耗时间的交付是什么？最焦虑的是利润低、现金流紧，还是报价不敢涨？</t>
        </is>
      </c>
      <c r="D5" t="inlineStr">
        <is>
          <t>判断是否推进体检</t>
        </is>
      </c>
    </row>
    <row r="6">
      <c r="A6" t="inlineStr">
        <is>
          <t>推进主服务</t>
        </is>
      </c>
      <c r="B6" t="inlineStr">
        <is>
          <t>报价1299</t>
        </is>
      </c>
      <c r="C6" t="inlineStr">
        <is>
          <t>我有一个48小时一人公司利润体检，会整理收入、成本、利润、报价和未来8周现金流，最后给你3个利润漏洞和1个30天动作。前4个样板名额1299元。</t>
        </is>
      </c>
      <c r="D6" t="inlineStr">
        <is>
          <t>发资料清单并收款</t>
        </is>
      </c>
    </row>
    <row r="7">
      <c r="A7" t="inlineStr">
        <is>
          <t>嫌贵</t>
        </is>
      </c>
      <c r="B7" t="inlineStr">
        <is>
          <t>保留主服务，给降阶</t>
        </is>
      </c>
      <c r="C7" t="inlineStr">
        <is>
          <t>理解。如果现在不想做完整体检，可以先做499元迷你诊断：只看一个最明显利润漏洞，并给一个7天动作。完整体检更适合已有稳定成交但利润不清楚的情况。</t>
        </is>
      </c>
      <c r="D7" t="inlineStr">
        <is>
          <t>二选一成交</t>
        </is>
      </c>
    </row>
    <row r="8">
      <c r="A8" t="inlineStr">
        <is>
          <t>考虑一下</t>
        </is>
      </c>
      <c r="B8" t="inlineStr">
        <is>
          <t>制造合理截止</t>
        </is>
      </c>
      <c r="C8" t="inlineStr">
        <is>
          <t>可以。你只看一个问题：如果这次能帮你找到一个30天内多赚或少亏1299元以上的动作，就值得做。前4个1299名额满了恢复1999元。</t>
        </is>
      </c>
      <c r="D8" t="inlineStr">
        <is>
          <t>约定跟进时间</t>
        </is>
      </c>
    </row>
    <row r="9">
      <c r="A9" t="inlineStr">
        <is>
          <t>成交</t>
        </is>
      </c>
      <c r="B9" t="inlineStr">
        <is>
          <t>收款并锁定交付</t>
        </is>
      </c>
      <c r="C9" t="inlineStr">
        <is>
          <t>确认的话我给你锁一个1299元样板名额。付款后我发资料清单，从资料完整时开始计48小时交付。</t>
        </is>
      </c>
      <c r="D9" t="inlineStr">
        <is>
          <t>收款</t>
        </is>
      </c>
    </row>
    <row r="10">
      <c r="A10" t="inlineStr">
        <is>
          <t>边界声明</t>
        </is>
      </c>
      <c r="B10" t="inlineStr">
        <is>
          <t>控制风险</t>
        </is>
      </c>
      <c r="C10" t="inlineStr">
        <is>
          <t>这是经营财务和报价诊断，不包含税务申报、代理记账、审计、法律、投资或理财建议。</t>
        </is>
      </c>
      <c r="D10" t="inlineStr">
        <is>
          <t>写入每次交付</t>
        </is>
      </c>
    </row>
  </sheetData>
</worksheet>
</file>